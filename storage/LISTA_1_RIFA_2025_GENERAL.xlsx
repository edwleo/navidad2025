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navidad2025\storage\"/>
    </mc:Choice>
  </mc:AlternateContent>
  <xr:revisionPtr revIDLastSave="0" documentId="13_ncr:1_{F9F444AA-486F-4A66-A37B-1EC80B34083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consolidado" sheetId="2" r:id="rId2"/>
    <sheet name="análisis" sheetId="4" r:id="rId3"/>
  </sheets>
  <definedNames>
    <definedName name="_xlnm._FilterDatabase" localSheetId="1" hidden="1">consolidado!$B$1:$H$720</definedName>
    <definedName name="_xlnm._FilterDatabase" localSheetId="0" hidden="1">Sheet1!$B$2:$H$729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4" l="1"/>
  <c r="E26" i="4"/>
  <c r="E22" i="4"/>
  <c r="E23" i="4"/>
  <c r="E24" i="4"/>
  <c r="E25" i="4"/>
  <c r="E21" i="4"/>
  <c r="D22" i="4"/>
  <c r="D23" i="4"/>
  <c r="D24" i="4"/>
  <c r="D25" i="4"/>
  <c r="D21" i="4"/>
  <c r="C26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2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3" i="1"/>
  <c r="D26" i="4" l="1"/>
</calcChain>
</file>

<file path=xl/sharedStrings.xml><?xml version="1.0" encoding="utf-8"?>
<sst xmlns="http://schemas.openxmlformats.org/spreadsheetml/2006/main" count="6180" uniqueCount="1734">
  <si>
    <t>ELITA TAMANI PACAYA (HENRY FLORES L.)</t>
  </si>
  <si>
    <t>CARR SUNAMPE NRO. PUERTA 391 B C.P. HUACA GRANDE - SUNAMPE</t>
  </si>
  <si>
    <t>ZONA: SUNAMPE – SAN IGNACIO</t>
  </si>
  <si>
    <t>FACHO LOZADA AUGUSTO IGNACIO</t>
  </si>
  <si>
    <t>AV.PRINCIPAL 543 SUNAMPE LOTE 6A</t>
  </si>
  <si>
    <t>ZONA: SUNAMPE – SANTA ROSA</t>
  </si>
  <si>
    <t>BARRUTIA NAPA GERMAN YSAIAS</t>
  </si>
  <si>
    <t>SUNAMPE PASO DE GOMEZ S/N</t>
  </si>
  <si>
    <t>ZONA: SUNAMPE – COLEGIO</t>
  </si>
  <si>
    <t>PEÑA SOTO KATERINNE LIZETH</t>
  </si>
  <si>
    <t>Calle Nueva Esperanza Mz. A Lt. 12 -Grocio Prado</t>
  </si>
  <si>
    <t>ZONA: GROCIO - MEJILLONEROS</t>
  </si>
  <si>
    <t>BEGAZO PEÑALOZA MILAGROS LUCIA</t>
  </si>
  <si>
    <t>Psj. San Cristobal 360   - Villa Julia</t>
  </si>
  <si>
    <t>ZONA: SUNAMPE – VILLA JULIA</t>
  </si>
  <si>
    <t>RIQUELME APOLAYA VDA DE PEREZ GREGORIA ELISA</t>
  </si>
  <si>
    <t>Av. Melchorita Nº 604 - Grocio Prado</t>
  </si>
  <si>
    <t>TASAYCO MAGALLANES ALICIA MARIA</t>
  </si>
  <si>
    <t>PSJ. DOS DE MAYO N°303 - CRUZ BLANCA</t>
  </si>
  <si>
    <t>ZONA: CRUZ BLANCA PARTE ALTA oruro</t>
  </si>
  <si>
    <t>CAMPOS VILLA JOHN WILLIAMS</t>
  </si>
  <si>
    <t>Parada de los Amigos Pasaje Villa - Sunampe</t>
  </si>
  <si>
    <t>ZONA: SUNAMPE – SAN PILPA</t>
  </si>
  <si>
    <t>LOYOLA SARAVIA ROBERTO CARLOS</t>
  </si>
  <si>
    <t>Parada de los Amigos Pasaje Renovacion - Sunampe</t>
  </si>
  <si>
    <t>PONTE CERNA MARIBEL RUDI</t>
  </si>
  <si>
    <t>Pasaje Santa Rosa - Espalda de Cruz Blanca</t>
  </si>
  <si>
    <t>ZONA: CRUZ BLANCA PARTE BAJA</t>
  </si>
  <si>
    <t>ABREGU NAPA FRANK ENRIQUE</t>
  </si>
  <si>
    <t>Pasaje Napa - Cruz Blanca</t>
  </si>
  <si>
    <t>GARCIA CASTILLA MARITZA</t>
  </si>
  <si>
    <t>Prolongacion Alva Maurtua - Cruz Blanca (Ex toma de cala)</t>
  </si>
  <si>
    <t>GIRAO ATUNCAR JAVIER ORLANDO</t>
  </si>
  <si>
    <t>Av. Alfonso Ugarte Mz M Lt 5, CP San Pedro de Pilpa - Sunampe</t>
  </si>
  <si>
    <t>CHAVEZ MARTINEZ MARTHA MARIA</t>
  </si>
  <si>
    <t>AV. PARAISO MZ C LT 27, LOMO LARGO - SUNAMPE</t>
  </si>
  <si>
    <t>ZONA: SUNAMPE – PARAISO</t>
  </si>
  <si>
    <t>985 192 082</t>
  </si>
  <si>
    <t>TORRES DEL AGUILA DORA ESTHER</t>
  </si>
  <si>
    <t>Psj 2 de mayo #285-4 cruz Blanca Referencia espalda del colegio 22234</t>
  </si>
  <si>
    <t>MAGALLANES ALMEYDA MARIA MIRTHA</t>
  </si>
  <si>
    <t>AV. ALVA MAURTUA N° 580 - CRUZ BLANCA - CHINCHA ALTA</t>
  </si>
  <si>
    <t>GARCIA CARBAJAL MILAGRO MELCHORA</t>
  </si>
  <si>
    <t>barrio el tigre 280 av los proceres chincha</t>
  </si>
  <si>
    <t>DE LA CRUZ MANRIQUE NOLBERTO FLORECINDO</t>
  </si>
  <si>
    <t>calle San Vicente Ferrer 520 Sunampe</t>
  </si>
  <si>
    <t>TORRES TASAYCO CARLOS EDUARDO</t>
  </si>
  <si>
    <t>PSJE SANTA ROSA Nro. Puerta 128 Cruz Blanca CHINCHA ALTA</t>
  </si>
  <si>
    <t>ALMEYDA DE NAPA MARGARITA VICTORIA</t>
  </si>
  <si>
    <t>Av. paraíso - Lomo Largo - Sunampe ref: A 1 cuadra del hostal “El otro Sitio”</t>
  </si>
  <si>
    <t>PACHAS DIAZ DAVID ERNESTO</t>
  </si>
  <si>
    <t>Psj. 2 de mayo - Cruz blanca</t>
  </si>
  <si>
    <t>956 022 078</t>
  </si>
  <si>
    <t>ESPINOZA MUÑOZ LILIANA LASTENIA</t>
  </si>
  <si>
    <t>Av. San marcelo 158 (Villa Julia) - Sunampe</t>
  </si>
  <si>
    <t>ALMEYDA GARCIA ABEL ARTURO</t>
  </si>
  <si>
    <t>Calle Grau 108 - Lomo Largo - Sunampe</t>
  </si>
  <si>
    <t>MAGALLANES CRISOSTOMO KATHERIN CINTHIA</t>
  </si>
  <si>
    <t>PSJ DE LA CRUZ MATIAS - LOMO LARGO - SUNAMPE</t>
  </si>
  <si>
    <t>GIRAO ATUNCAR LUIS CARLOS</t>
  </si>
  <si>
    <t>PASAJE SANTA ROSA 130 - 01  SUNAMPE</t>
  </si>
  <si>
    <t>SARAVIA YATACO ARMANDO FELIX</t>
  </si>
  <si>
    <t>Psj. Betania interior 04 Nº 390 - Guayabo - Sunampe</t>
  </si>
  <si>
    <t>DIAZ MAGALLANES SANTOS MANUEL</t>
  </si>
  <si>
    <t>CRUZ BLANCA VIRGEN DEL CARMEN</t>
  </si>
  <si>
    <t>MESIAS GONZALES DIANA FIORELLA</t>
  </si>
  <si>
    <t>Calle los Próceres Lote 24-Cruz Blanca</t>
  </si>
  <si>
    <t>SARAVIA BENDEZU LUIS RICHARD</t>
  </si>
  <si>
    <t>Toma de cala Cruz blanca -. Virgen de carmen</t>
  </si>
  <si>
    <t>CONTRERAS ENRIQUEZ CARLOS JAVIER</t>
  </si>
  <si>
    <t>SANTA FE calle primavera lomo largo 441</t>
  </si>
  <si>
    <t>ZONA: SUNAMPE – SANTA FE</t>
  </si>
  <si>
    <t>TORRES ROMAN KATHERINE MILAGROS</t>
  </si>
  <si>
    <t>Av. Huascar 130 San IGNACIO</t>
  </si>
  <si>
    <t>TASAYCO GARCIA DANIEL</t>
  </si>
  <si>
    <t>Av San Francisco 117 sunampe</t>
  </si>
  <si>
    <t>ABURTO DE LA CRUZ CARMEN ROSA</t>
  </si>
  <si>
    <t>SAN IGANCIO PASANDO  Cevicheria de san ignacio</t>
  </si>
  <si>
    <t>BALLARTA BACA KATTY KARINA</t>
  </si>
  <si>
    <t>Asoc. Civil virgen del carmen Mz. B lt. 13</t>
  </si>
  <si>
    <t>GARCIA CASTILLA JUAN JOSE</t>
  </si>
  <si>
    <t>Av. Arenal s/n Lote 24 02- Cruz Blanca</t>
  </si>
  <si>
    <t>ROJAS AVALOS CARMEN ISABEL</t>
  </si>
  <si>
    <t>pasaje santa rosa sunampe, frente al grifo</t>
  </si>
  <si>
    <t>MAGALLANES TASAYCO LUIS RAUL</t>
  </si>
  <si>
    <t>AV. UNION SANTA ROSA N103-18 - CRUZ BLANCA</t>
  </si>
  <si>
    <t>YATACO LEVANO JOSE LUIS</t>
  </si>
  <si>
    <t>Comite Alameda G.B. 232 - Sunampe</t>
  </si>
  <si>
    <t>LAZARO CANCHARI NESTOR BALVIS</t>
  </si>
  <si>
    <t>C.P. CONDORILLO ALTO MZ L LT 10 - CHINCHA</t>
  </si>
  <si>
    <t>ZONA: CONDORILLO PARTE ALTA</t>
  </si>
  <si>
    <t>CARBAJAL NAVARRO CRISTHIAN JUNIOR</t>
  </si>
  <si>
    <t>Av. Alva Maurtua S/N - Cruz Blanca</t>
  </si>
  <si>
    <t>924 343 517</t>
  </si>
  <si>
    <t>SOTELO MATTA GUISELLA ESPERANZA</t>
  </si>
  <si>
    <t>PSJ. ANDRES AVELINO CACERES 137, SANTA ROSA - SUNAMPE</t>
  </si>
  <si>
    <t>929 564 075</t>
  </si>
  <si>
    <t>CHAVEZ YATACO JESUS ALBERTO</t>
  </si>
  <si>
    <t>Psj. Santa Rosa S/N - Cruz Blanca</t>
  </si>
  <si>
    <t>ZONA: CRUZ BLANCA CAMPO</t>
  </si>
  <si>
    <t>PAEZ SOTELO HELLEN VICTORIA</t>
  </si>
  <si>
    <t>Calle San Antonio 301 - Sunampe</t>
  </si>
  <si>
    <t>GARCIA GARIBAY EMILIA MELCHORITA</t>
  </si>
  <si>
    <t>C.P. CONDORILLO ALTO, CRUZ DEL ROSARIO MZ A LT 12 - CHINCHA</t>
  </si>
  <si>
    <t>MAGALLANES APOLAYA ENRIQUE JAVIER</t>
  </si>
  <si>
    <t>AA.HH. LA UNION HACE LA FUERZA MZ. D LT. 05, MINA DE ORO - SUNAMPE</t>
  </si>
  <si>
    <t>ZONA: SUNAMPE - MINA DE ORO</t>
  </si>
  <si>
    <t>LEVANO VERGARA PIERO ALEXANDER</t>
  </si>
  <si>
    <t>A.v Alva Maurtua Nº106- Cruz Blanca</t>
  </si>
  <si>
    <t>927 288 221</t>
  </si>
  <si>
    <t>GONZALES NAPA WALTER MARTIN</t>
  </si>
  <si>
    <t>AV. ALVA MAURTUA N°508 - CRUZ BLANCA</t>
  </si>
  <si>
    <t>DE LA CRUZ OLIVARES ROSA ALBINA</t>
  </si>
  <si>
    <t>Av. Alva Maurtua Nº 300 - Cruz Blanca</t>
  </si>
  <si>
    <t>MARTINEZ QUIROGA ROMAIN VICTOR HUGO</t>
  </si>
  <si>
    <t>Av. Primavera 130 - Lomo Largo -Sunampe</t>
  </si>
  <si>
    <t>SEBASTIAN SARAVIA JUNIOR RAFAEL</t>
  </si>
  <si>
    <t>Av. Alva Maurtua 514 - Cruz Blanca</t>
  </si>
  <si>
    <t>BELLEZA CARPIO VDA DE AROSTEGUI MARIBEL VIOLETA</t>
  </si>
  <si>
    <t>AV.PARAISO CASA DE 2 PISOS AZUL - Sunampe</t>
  </si>
  <si>
    <t>HERRERA CASAS DE CHINCHAY MARIA ANTONIETA</t>
  </si>
  <si>
    <t>Calle el Carmen Nº 163 - Cruz Blanca</t>
  </si>
  <si>
    <t>CARBAJAL CASIANO NATHALY ROSSIEL</t>
  </si>
  <si>
    <t>Psj. 2 de Mayo 285- Cruz Blanca</t>
  </si>
  <si>
    <t>MESIAS TORRES MIRIAM MARLENI</t>
  </si>
  <si>
    <t>Psj. Napa S/N - Cruz Blanca</t>
  </si>
  <si>
    <t>ZONA: CRUZ BLANCA VIRGEN CARMEN</t>
  </si>
  <si>
    <t>CRISOSTOMO CUELLA LUIS ALFONSO</t>
  </si>
  <si>
    <t>A.v Los Proceres s/n  -SUNAMPE</t>
  </si>
  <si>
    <t>CHAVEZ ALMEYDA CAROLINA</t>
  </si>
  <si>
    <t>PSJ. EL CARMEN MZ D LT 11 ( AL COST. DEL COLEGIO)</t>
  </si>
  <si>
    <t>BONIFACIO QUISPE EVER PABLO</t>
  </si>
  <si>
    <t>AV. La alameda s/n Sunampe</t>
  </si>
  <si>
    <t>DE LA CRUZ QUISPE LILIANA</t>
  </si>
  <si>
    <t>Calle las Nazarenas, S/n Huaca Grande- Sunampe</t>
  </si>
  <si>
    <t>ZONA: SUNAMPE – HUACA GRANDE</t>
  </si>
  <si>
    <t>06799544</t>
  </si>
  <si>
    <t>MENDOZA VELASQUEZ MARICRUZ</t>
  </si>
  <si>
    <t>LOS ARENALES, PSJ SANTA ANGELA - CRUZ BLANCA</t>
  </si>
  <si>
    <t>VENEGAS CHAUPIN PABLO</t>
  </si>
  <si>
    <t>PSJE ALMEYDA Nro. Lote 134 27 Sin Barrio C.P. San Ignacio , SUNAMPE</t>
  </si>
  <si>
    <t>QUISPE PAUCAR SANTA LUCIA EUGENIA</t>
  </si>
  <si>
    <t>CC.PP. NUEVO CONDORILLO - SAN VALENTIN A-1</t>
  </si>
  <si>
    <t>SARAVIA MEDINA LUIS</t>
  </si>
  <si>
    <t>AV. LOS ANGELES Nª 512 - LOMO LARGO - SUNAMPE</t>
  </si>
  <si>
    <t>MARTINEZ CASTILLA ANA CECILIA</t>
  </si>
  <si>
    <t>PSJ JOSE SANTOS CHOCANO 145 - San Pedro de Pilpa</t>
  </si>
  <si>
    <t>FUENTES CHAVEZ LUIS ARMANDO</t>
  </si>
  <si>
    <t>Calle los Angeles 449 - Lomo Largo</t>
  </si>
  <si>
    <t>PACHAS LEVANO PATRICIA DEL PILAR</t>
  </si>
  <si>
    <t>HUACA GRANDE - SUNAMPE</t>
  </si>
  <si>
    <t>SARAVIA PACHAS LIDIA</t>
  </si>
  <si>
    <t>Av. san antonio, guayabo psj. 29</t>
  </si>
  <si>
    <t>PADILLA ACEVEDO ARALI NERIDA</t>
  </si>
  <si>
    <t>Calle santa angela, frente al mega mercado - Cruz Blanca</t>
  </si>
  <si>
    <t>NAVARRETE QUISPE NELSON NOEL</t>
  </si>
  <si>
    <t>Calle Santa Rosa - Sunampe</t>
  </si>
  <si>
    <t>986 252 415</t>
  </si>
  <si>
    <t>GONZALES PEÑA ANA YSABEL</t>
  </si>
  <si>
    <t>AV.SANTA ROSA 146 SUNAMPE</t>
  </si>
  <si>
    <t>933 227 205</t>
  </si>
  <si>
    <t>SOTA PACHECO HARRY ANGEL</t>
  </si>
  <si>
    <t>AV. ALVA MAURTUA MZ. B LT. 17 - CRUZ BLANCA</t>
  </si>
  <si>
    <t>CASTAÑEDA SULCA BRIGIDA DIONICIA</t>
  </si>
  <si>
    <t>Cruz Blanca Psj estrada 2 de mayo</t>
  </si>
  <si>
    <t>UCEDA GONZALES VDA DE PALOMINO TERESA SILVANA</t>
  </si>
  <si>
    <t>Villa Julia - Sunampe</t>
  </si>
  <si>
    <t>JUAN EDUARDO MALASQUEZ CHICO</t>
  </si>
  <si>
    <t>ENTRADA SANTA FE, CAMINO EL SOCORRO - SUNAMPE</t>
  </si>
  <si>
    <t>CURACA CUSIPUMA MANUEL ENRIQUE</t>
  </si>
  <si>
    <t>Virgen del carmen mz lote 11 Cruz Blanca</t>
  </si>
  <si>
    <t>923 144 872</t>
  </si>
  <si>
    <t>CHUMBIAUCA ALMEYDA MARCELO</t>
  </si>
  <si>
    <t>Av. Principal Cacerio Huaca Grande</t>
  </si>
  <si>
    <t>933 396 143</t>
  </si>
  <si>
    <t>CHUMBIAUCA LEVANO LUIS</t>
  </si>
  <si>
    <t>Paso de gomez , empezando huaca grande sunampe</t>
  </si>
  <si>
    <t>DE LA CRUZ HERNANDEZ RICHARD LEONARDO</t>
  </si>
  <si>
    <t>Prolg. Paraiso S/N Lomo Largo</t>
  </si>
  <si>
    <t>951 138 073</t>
  </si>
  <si>
    <t>ALFONSO TORRES NOEMI MARLENY</t>
  </si>
  <si>
    <t>CL. SAN JUAN S/N - SAN PEDRO DE PILPA - SUNAMPE</t>
  </si>
  <si>
    <t>TORRES SANCHEZ HUGO ALBERTO</t>
  </si>
  <si>
    <t>CALLE SANTA ROSA #355  PRIMERA ENTRADA - SUNAMPE</t>
  </si>
  <si>
    <t>NAPA ROJAS HUGO EDUARDO</t>
  </si>
  <si>
    <t>Av San Pedro de Pilpa 475</t>
  </si>
  <si>
    <t>933 410 312</t>
  </si>
  <si>
    <t>QUISPE VASQUEZ JOSE ALEXANDER</t>
  </si>
  <si>
    <t>VILLA JULIA PSJ LOS LAURELES</t>
  </si>
  <si>
    <t>939 584 261</t>
  </si>
  <si>
    <t>AGUILAR RIVERA NATALY CRISS</t>
  </si>
  <si>
    <t>CL. ALFONSO UGARTE N° 160, SAN PEDRO DE PILPA - SUNAMPE</t>
  </si>
  <si>
    <t>CHACALIAZA ATUNCAR HEBER TOMAS</t>
  </si>
  <si>
    <t>CL SAN VICENTE FERRER NRO. LOTE 01 PSJ. 8 C.P. SAN PEDRO DE PILPA - SUNAMPE</t>
  </si>
  <si>
    <t>YATACO VIDAL JAIME JUAN</t>
  </si>
  <si>
    <t>Calle Parada de los amigos 409 - Sunampe</t>
  </si>
  <si>
    <t>06093318</t>
  </si>
  <si>
    <t>VILLA CASTILLA NANCY</t>
  </si>
  <si>
    <t>Calle San Vicente ferrer 300 - Int. 10 - Sunampe</t>
  </si>
  <si>
    <t>GALINDO SALAS LIZET</t>
  </si>
  <si>
    <t>Calle Parada de los amigos - Psj Villa - Sunampe</t>
  </si>
  <si>
    <t>CARBAJAL SANCHEZ DE MARTINEZ ROSA ERLINDA</t>
  </si>
  <si>
    <t>Calle Parada de los amigos - Sunampe</t>
  </si>
  <si>
    <t>952 567 956</t>
  </si>
  <si>
    <t>MARTINEZ MARTINEZ SONIA</t>
  </si>
  <si>
    <t>cruz blanca -  psj napa</t>
  </si>
  <si>
    <t>DE LA CRUZ ABREGU GIAN CARLOS</t>
  </si>
  <si>
    <t>AV ALVA MAUTUA PUERTA 627-B - CRUZ BLANCA</t>
  </si>
  <si>
    <t>VELASQUEZ DE LA CRUZ LUISA HERMELINDA</t>
  </si>
  <si>
    <t>Pasaje Jose Olaya- Entrada Condoriilo</t>
  </si>
  <si>
    <t>VASQUEZ MARTINEZ LUIS ALBERTO</t>
  </si>
  <si>
    <t>CRUZ BLANCA PSJ TUPAC AMARU ENTRADA CONDORILLO</t>
  </si>
  <si>
    <t>SOTO NAPA OSWALDO GUSTAVO</t>
  </si>
  <si>
    <t>Av. San Cristobal 155- San Ignacio-Sunampe</t>
  </si>
  <si>
    <t>GARCIA BAUTISTA MIRIAM LIZET</t>
  </si>
  <si>
    <t>CRUZ BLANCA PSJ SAN MARTIN 55</t>
  </si>
  <si>
    <t>PEREZ ROMERO NELBIS MARIA</t>
  </si>
  <si>
    <t>PSJ. SAN MARTIN - SAN IGNACIO - SUNAMPE</t>
  </si>
  <si>
    <t>BONIFACIO BALLARTA SANDRA GIANELLA</t>
  </si>
  <si>
    <t>AA.HH. VIRGEN DEL CARMEN MZ C - LT 07 - CRUZ BLANCA - CHINCHA</t>
  </si>
  <si>
    <t>GARCIA DE GARCIA GLADYS</t>
  </si>
  <si>
    <t>CRUZ BLANCA VIRGEN DEL CARMEN AV TOMA DE CALA</t>
  </si>
  <si>
    <t>MARCOS YATACO PILAR NELLY</t>
  </si>
  <si>
    <t>CRUZ BLANCA ENTRADA CONDORILLO</t>
  </si>
  <si>
    <t>DE LA CRUZ MESIAS ALEX GABRIEL</t>
  </si>
  <si>
    <t>Av Alva Maurtua 144 Cruz blanca</t>
  </si>
  <si>
    <t>MAGALLANES GARCIA MARITZA</t>
  </si>
  <si>
    <t>TOMA DE CALA CRUZ BLANCA</t>
  </si>
  <si>
    <t>BALLENAS DELGADO ANA ETELVINA</t>
  </si>
  <si>
    <t>CONDOMINIO LOS SAUCES MZ. D LT. 02 - SUNAMPE</t>
  </si>
  <si>
    <t>ZONA: SUNAMPE – SIMON</t>
  </si>
  <si>
    <t>HUAMAN VILLA ALINA JANETH</t>
  </si>
  <si>
    <t>San Ignacio  - Sunampe</t>
  </si>
  <si>
    <t>FELIX GARCIA DIEGO ERNESTO</t>
  </si>
  <si>
    <t>Av. Primavera, despues de la entrada de Santa fe - Sunampe</t>
  </si>
  <si>
    <t>LOPEZ MATEO SONIA ROSA</t>
  </si>
  <si>
    <t>Calle Grau 168 lomo largo</t>
  </si>
  <si>
    <t>DE LA CRUZ MESIAS KARINA ORIELE</t>
  </si>
  <si>
    <t>AV. Primavera 130</t>
  </si>
  <si>
    <t>REBATTA MURGUEYTIO FERNANDO JAVIER</t>
  </si>
  <si>
    <t>Sunampe , AV,FATIMA PASAJ LOS MARCLOS</t>
  </si>
  <si>
    <t>TASAYCO BAUTISTA OSWALDO ERNESTO</t>
  </si>
  <si>
    <t>Asociación virgen del Carmen mz. A lote 7 (Costado del estadio pasaje girasoles)</t>
  </si>
  <si>
    <t>TASAYCO MUÑOZ TANIA JAHAYRA</t>
  </si>
  <si>
    <t>Av. 2 de mayo 299 - Cruz blanca</t>
  </si>
  <si>
    <t>945 111 670</t>
  </si>
  <si>
    <t>SARAVIA SEBASTIAN VERONICA</t>
  </si>
  <si>
    <t>psj santa rosa sunampe guayabo cholo</t>
  </si>
  <si>
    <t>984 964 759</t>
  </si>
  <si>
    <t>CLAROS MAGALLANES JERSON JESUS</t>
  </si>
  <si>
    <t>toma de cala lt 16</t>
  </si>
  <si>
    <t>970 855 964</t>
  </si>
  <si>
    <t>NAPA CARBAJAL DE MENESES MARIA ELENA</t>
  </si>
  <si>
    <t>Calle El carmen 180-cruz blanca</t>
  </si>
  <si>
    <t>940 088 604</t>
  </si>
  <si>
    <t>JOSE ANTONIO SARAVIA PADILLA</t>
  </si>
  <si>
    <t>PSJE LOS PINOS 176-03 - C.P. SAN IGNACIO - SUNAMPE</t>
  </si>
  <si>
    <t>CRISOSTOMO CAMPOS RAUL</t>
  </si>
  <si>
    <t>Av. emancipacion SUNAMPE S/N</t>
  </si>
  <si>
    <t>ARIAS ARENAS MARTHA MARIA</t>
  </si>
  <si>
    <t>AV. PROCERES N° 101 - SUNAMPE</t>
  </si>
  <si>
    <t>CHAVEZ YAURICASA MARCO ANTONIO</t>
  </si>
  <si>
    <t>Psj. San Juan de Dios S/N</t>
  </si>
  <si>
    <t>906 735 817</t>
  </si>
  <si>
    <t>PEÑA MORAN EDSON JAIR</t>
  </si>
  <si>
    <t>Calle Paso de Gomez 106.01</t>
  </si>
  <si>
    <t>MEDINA ATUNCAR ANDY NOEL</t>
  </si>
  <si>
    <t>San Martin 698 - San pedro de pilpa - Sunampe</t>
  </si>
  <si>
    <t>CANTO PACHAS DANIELA ELIZABETH</t>
  </si>
  <si>
    <t>Paso de Gomez 115 - Sunampe</t>
  </si>
  <si>
    <t>CESAR MARTIN NAPA PRADO</t>
  </si>
  <si>
    <t>Calle San Blas, Sunampe,  Chincha</t>
  </si>
  <si>
    <t>943 395 596</t>
  </si>
  <si>
    <t>ATUNCAR DE LA CRUZ LUZ MARLENE</t>
  </si>
  <si>
    <t>Sunampe, Av. Huascar (Casa de pandora 02)</t>
  </si>
  <si>
    <t>ALMEYDA SARAVIA PEDRO FERNANDO</t>
  </si>
  <si>
    <t>Calle Paso de Gomez nº 106- Sunampe Ref. Parte Baja o Rafichez</t>
  </si>
  <si>
    <t>ROQUE ARZAPALO CLAUDIO</t>
  </si>
  <si>
    <t>AV. FATIMA LT. 27 - SUNAMPE</t>
  </si>
  <si>
    <t>SARAVIA MENDOZA LIZ AURORA</t>
  </si>
  <si>
    <t>Psj. Nueva Esperanza Lt. 20 - Grocio Prado</t>
  </si>
  <si>
    <t>HUAMAN GONZALES JOSE MANUEL</t>
  </si>
  <si>
    <t>Psj. toma de martinez Lt. 1 Virgen del carmen</t>
  </si>
  <si>
    <t>MARCOS MAGALLANES JESUS ALEXANDER</t>
  </si>
  <si>
    <t>Av. Alva Maurtua, cruz blanca 760, ultimo paradero terminando la pista</t>
  </si>
  <si>
    <t>957 238 058</t>
  </si>
  <si>
    <t>MAGALLANES LUDEÑA ALEX</t>
  </si>
  <si>
    <t>Av. Alva maurtua 5ta cuadra</t>
  </si>
  <si>
    <t>QUISPE DE LA CRUZ JUAN MARCELINO</t>
  </si>
  <si>
    <t>Psj. Santa Rosa Sunampe</t>
  </si>
  <si>
    <t>982 006 028</t>
  </si>
  <si>
    <t>GONZALES FUENTES JAVIER WILLIAM</t>
  </si>
  <si>
    <t>Av. Nueva esperanza lote 24 - grocio prado</t>
  </si>
  <si>
    <t>CHICO YATACO MARISELA</t>
  </si>
  <si>
    <t>Avenida San Rafael #256 Grocio Prado (frente al campo de los mejilloneros)</t>
  </si>
  <si>
    <t>MIRNA PASACHE LEGUA</t>
  </si>
  <si>
    <t>Av. Emancipacion - Sunampe, freente del colegio 22268</t>
  </si>
  <si>
    <t>VILLA TASAYCO JEISON JOSE</t>
  </si>
  <si>
    <t>Pasaje 2 de mayo - Cruz blanca</t>
  </si>
  <si>
    <t>919 712 420</t>
  </si>
  <si>
    <t>MATIAS PEÑALOZA JUAN CARLOS</t>
  </si>
  <si>
    <t>Av. Paraiso Mz. W Lt. 08 - Lomo Largo</t>
  </si>
  <si>
    <t>ROJAS GUERRA EDGAR EDUARDO</t>
  </si>
  <si>
    <t>C.P. EL TIGRE 141 INT. 01 - CHINCHA ALTA</t>
  </si>
  <si>
    <t>960 329 089</t>
  </si>
  <si>
    <t>MOSCAYZA PEREZ JEREMI POOL</t>
  </si>
  <si>
    <t>Pasaje Villa, parada de los amigos 195</t>
  </si>
  <si>
    <t>QUISPE MALDONADO JHONY</t>
  </si>
  <si>
    <t>Psj santa Rosa S/N- Cruz Blanca</t>
  </si>
  <si>
    <t>ROJAS TELLO YULIANA ELENA</t>
  </si>
  <si>
    <t>Calle nueva San Ignacio sunampe</t>
  </si>
  <si>
    <t>RUTH KARINA TAIPE BONIFACIO</t>
  </si>
  <si>
    <t>PSJ. LOS GERANIOS S/N - C.P. LOMO LARGO - SUNAMPE</t>
  </si>
  <si>
    <t>CARBAJAL TORRES MARTHA ELIZABETH</t>
  </si>
  <si>
    <t>San pedro de pilpa, psj. San blas</t>
  </si>
  <si>
    <t>CASTILLA HUAROTE FELIX</t>
  </si>
  <si>
    <t>Av. Melchorita 607 - Grocio Prado</t>
  </si>
  <si>
    <t>ZONA: GROCIO - EL PORVENIR</t>
  </si>
  <si>
    <t>PACHAS PASACHE KAREN JACKELINE</t>
  </si>
  <si>
    <t>Calle jose pardo mz. V lt. 07 - Sunampe</t>
  </si>
  <si>
    <t>TIPISMANA QUISPE RAMON DANIEL</t>
  </si>
  <si>
    <t>AA.HH Mina de Oro PsJ. Los jazmines S/N</t>
  </si>
  <si>
    <t>981 088 324</t>
  </si>
  <si>
    <t>FELIX GARCIA FLOR MEDALY</t>
  </si>
  <si>
    <t>Av. primavera 722 Sunampe</t>
  </si>
  <si>
    <t>MAGALLANES APOLAYA JULIANA HAYDEE</t>
  </si>
  <si>
    <t>Centro Poblado Mina de Oro Mz B Lote 6 Ref: Estadio de Mina de oro</t>
  </si>
  <si>
    <t>GARCIA URIBE GIOVANNY ALEXIS</t>
  </si>
  <si>
    <t>Av. Primavera 724 - Sunampe  Ref:(A dos casas del Rest. Mar Verde)</t>
  </si>
  <si>
    <t>CARDENAS MALLQUI MARIA ROSARIO</t>
  </si>
  <si>
    <t>Av.primavera - lomo largo</t>
  </si>
  <si>
    <t>956 353 843</t>
  </si>
  <si>
    <t>REYES APONTE LUIS MANUEL</t>
  </si>
  <si>
    <t>CONDORILLO ALTO PRIMERA ENTRADA</t>
  </si>
  <si>
    <t>ZONA: CONDORILLO PARTE BAJA</t>
  </si>
  <si>
    <t>CARMEN DEL ROSARIO MARTINEZ DE LA CRUZ</t>
  </si>
  <si>
    <t>Cruz Blanca S/N</t>
  </si>
  <si>
    <t>933 826 012</t>
  </si>
  <si>
    <t>NUÑEZ CALDERON ISABEL ALICIA</t>
  </si>
  <si>
    <t>San Pedro De Pilpa Costado de la capilla</t>
  </si>
  <si>
    <t>939 309 903</t>
  </si>
  <si>
    <t>PACHAS MARTINEZ JUANA</t>
  </si>
  <si>
    <t>Virgen del carmen Mz. I lt. 1</t>
  </si>
  <si>
    <t>991 488 690</t>
  </si>
  <si>
    <t>ORMEÑO YATACO ARACELY MILAGROS</t>
  </si>
  <si>
    <t>VIRGEN DEL CARMEN MZ B LT 07, CRUZ BLANCA</t>
  </si>
  <si>
    <t>MENESES CRISOSTOMO MARITZA</t>
  </si>
  <si>
    <t>LOMO LARGO PASANDO LA PLAZA DE ARMAS</t>
  </si>
  <si>
    <t>937 337 247</t>
  </si>
  <si>
    <t>ALMEIDA GARCIA KATI NELLY</t>
  </si>
  <si>
    <t>Asoc. Nueva generacion siglo 21</t>
  </si>
  <si>
    <t>980 783 090</t>
  </si>
  <si>
    <t>MANUEL YSMAEL YARASCA PURAY</t>
  </si>
  <si>
    <t>AA.HH. VIRGEN DEL CARMEN MZ A LT 10 - CRUZ BLANCA</t>
  </si>
  <si>
    <t>950 347 145</t>
  </si>
  <si>
    <t>TOVAR HUAMAN LIZ JESUS</t>
  </si>
  <si>
    <t>Av.Los Arenales #268</t>
  </si>
  <si>
    <t>945 506 447</t>
  </si>
  <si>
    <t>MARCA MARCOS ELVIS VICTOR</t>
  </si>
  <si>
    <t>Prolong. Ayacucho S/N</t>
  </si>
  <si>
    <t>921 796 516</t>
  </si>
  <si>
    <t>CRISOSTOMO LEVANO PEDRO MANUEL</t>
  </si>
  <si>
    <t>CALLE LOS ANGELES S/N, LOMO LARGO - SUNAMPE</t>
  </si>
  <si>
    <t>CARBAJAL YATACO MIRTHA</t>
  </si>
  <si>
    <t>Av. San Gregorio 105 (carrizo, paradero de motos)</t>
  </si>
  <si>
    <t>906 877 348</t>
  </si>
  <si>
    <t>AVALOS ROJAS LUIS ALBERTO</t>
  </si>
  <si>
    <t>Calle San Blas</t>
  </si>
  <si>
    <t>BENDEZU FLORES LUCIA MABEL</t>
  </si>
  <si>
    <t>psj. san martin s/n</t>
  </si>
  <si>
    <t>LEVANO YATACO LIZETH MILAGROS</t>
  </si>
  <si>
    <t>PSJ. DOS DE MAYO - CRUZ BLANCA</t>
  </si>
  <si>
    <t>GARCIA GARCIA JENY CECILIA</t>
  </si>
  <si>
    <t>toma de cala lt. 12</t>
  </si>
  <si>
    <t>OSTIA MENDIGUETE LEONARDO</t>
  </si>
  <si>
    <t>psj. santa rosa s/n virgen del carmen, la ultima caja</t>
  </si>
  <si>
    <t>TORRES HUAMAN MARIA ISABEL</t>
  </si>
  <si>
    <t>psj. primavera 116 cruz blanca</t>
  </si>
  <si>
    <t>CESPEDES CANELO GLADYS DORA</t>
  </si>
  <si>
    <t>PSJ. SAN ANTONIO MZ J LT12, ALT. VILLA JULIA - SUNAMPE</t>
  </si>
  <si>
    <t>HERRERA TALLA JOSE FREDY</t>
  </si>
  <si>
    <t>AV. UNION SANTA ROSA N109, INT 33 - CRUZ BLANCA</t>
  </si>
  <si>
    <t>HERRERA TALLA EDNA CLEMENCIA</t>
  </si>
  <si>
    <t>AV. UNION SANTA ROSA N110-34 - CRUZ BLANCA</t>
  </si>
  <si>
    <t>TASAYCO DE LA CRUZ PEDRO JUAN</t>
  </si>
  <si>
    <t>AV.FATIMA PASANDO BODEGA VIÑA SAN FRANCISCO</t>
  </si>
  <si>
    <t>HERRERA MARTINEZ LUZ MILAGROS</t>
  </si>
  <si>
    <t>Psj. Union Santa rosa  Cruz Blanca</t>
  </si>
  <si>
    <t>VENTURA SALDAÑA JUISSELLA</t>
  </si>
  <si>
    <t>psj. jose olaya cruz blanca</t>
  </si>
  <si>
    <t>ROJAS BACIGALUPO CARMELA LEONOR</t>
  </si>
  <si>
    <t>Av.Nazarenas N 62 Huaca Grande</t>
  </si>
  <si>
    <t>CRUZ SALAZAR ANDREA KINBERLY</t>
  </si>
  <si>
    <t>Codorillo alto Mz. P Lt. 4</t>
  </si>
  <si>
    <t>LLIUYA PEVE JAVIER WILIAN</t>
  </si>
  <si>
    <t>condorillo, frente a la base de condorillo</t>
  </si>
  <si>
    <t>NAPA MENESES MARITZA LUZ</t>
  </si>
  <si>
    <t>Calle Alva Maurtua - Cruz Blanca</t>
  </si>
  <si>
    <t>VIOLETA GUTIERREZ GUILLERMO FELICIANO</t>
  </si>
  <si>
    <t>Av. pachacutec 2645 Cruz Blanca</t>
  </si>
  <si>
    <t>08998598</t>
  </si>
  <si>
    <t>AYBAR VALENCIA MARIN</t>
  </si>
  <si>
    <t>Calle san jose Mz. H Lt. 05 Huaca grande</t>
  </si>
  <si>
    <t>CHUQUISPUMA PEVE FLOR MARLENE</t>
  </si>
  <si>
    <t>Condorillo alto mz. L lt. 5</t>
  </si>
  <si>
    <t>SALDAÑA CHUQUISPUMA DIANA ROSMERY</t>
  </si>
  <si>
    <t>Condorillo alto L.19</t>
  </si>
  <si>
    <t>GUERRA DE LA CRUZ MARIA YSABEL</t>
  </si>
  <si>
    <t>CALLE EL CARMEN N° 107 - CRUZ BLANCA - CHINCHA</t>
  </si>
  <si>
    <t>VILLAR CASTILLO GUILIANA BERENIZ</t>
  </si>
  <si>
    <t>Av Las Nazarenas 370-Huaca grande - Sunampe</t>
  </si>
  <si>
    <t>JANAMPA GOMEZ MAXIMO</t>
  </si>
  <si>
    <t>Condorillo alto MZ I LT 01</t>
  </si>
  <si>
    <t>06567453</t>
  </si>
  <si>
    <t>JANAMPA QUISPE MARISOL</t>
  </si>
  <si>
    <t>Condorillo Mz. I lt. 18</t>
  </si>
  <si>
    <t>AVALOS SARAVIA RODOLFO AGUSTIN</t>
  </si>
  <si>
    <t>AV. EL PORVENIR S/N - GROCIO PRADO</t>
  </si>
  <si>
    <t>944 706 287</t>
  </si>
  <si>
    <t>FLOR DEL VALLE RODRIGUEZ GARELLI</t>
  </si>
  <si>
    <t>Av. alva maurtua lt 05 Cruz Blanca</t>
  </si>
  <si>
    <t>004039538</t>
  </si>
  <si>
    <t>RIOJAS PEREZ CATHERINE YAJAYRA</t>
  </si>
  <si>
    <t>Nuevo san valentin S/N -Nuevo Condorillo Bajo</t>
  </si>
  <si>
    <t>TASAYCO PEÑALOZA MIGUEL ANGEL</t>
  </si>
  <si>
    <t>Nuevo San Valentin, invasion de condorillo</t>
  </si>
  <si>
    <t>NAVARRO SARAVIA JUAN RONALD</t>
  </si>
  <si>
    <t>Calle El carmen, psj los ciruelos</t>
  </si>
  <si>
    <t>MAGALLANES CASAS VICTOR ALEXANDER</t>
  </si>
  <si>
    <t>Cruz blanca pasaje los ciruelos 207 - B</t>
  </si>
  <si>
    <t>912 616 041</t>
  </si>
  <si>
    <t>CASTILLA MESIAS LETICIA LISSET</t>
  </si>
  <si>
    <t>PSJ. TUPAC AMARU 166 - CRUZ BLANCA</t>
  </si>
  <si>
    <t>994 479 206</t>
  </si>
  <si>
    <t>TELLO ARMAS JULIAN</t>
  </si>
  <si>
    <t>Invasion de condorillo</t>
  </si>
  <si>
    <t>LAZARO CANCHARI DELFIN EDGAR</t>
  </si>
  <si>
    <t>C.P. Condorillo Alto Mz Z Lt 22</t>
  </si>
  <si>
    <t>QUISPE CHUQUISPUMA SANTA SILVESTRA</t>
  </si>
  <si>
    <t>C.P. CONDORILLO ALTO MZ. L LT. 12 - CHINCHA</t>
  </si>
  <si>
    <t>TORRES BARRIOS DANIEL GERARDO</t>
  </si>
  <si>
    <t>ALMEYDA MAGALLANES YSABEL</t>
  </si>
  <si>
    <t>Av. Paraiso 24-6</t>
  </si>
  <si>
    <t>CORDERO MURILLO MARGARITA</t>
  </si>
  <si>
    <t>SANTA ROSA- SUNAMPE</t>
  </si>
  <si>
    <t>937 061 341</t>
  </si>
  <si>
    <t>MANRIQUE CHUQUISPUMA LUIS WALTER</t>
  </si>
  <si>
    <t>Condorillo Alto Mz O Lt 12</t>
  </si>
  <si>
    <t>HERRERA VILLA JORGE LUIS</t>
  </si>
  <si>
    <t>PSJ. PRIMAVERA 100 LT 21 - CRUZ BLANCA</t>
  </si>
  <si>
    <t>CHUQUISPUMA PEVE JUANA</t>
  </si>
  <si>
    <t>C.P. Condorillo alto Mz. O lt. 13</t>
  </si>
  <si>
    <t>LLIUYA CHUQUISPUMA MARIA ESTHER</t>
  </si>
  <si>
    <t>Condorillo alto Mz. J lt. 11</t>
  </si>
  <si>
    <t>986 103 238</t>
  </si>
  <si>
    <t>AVILES CASTILLA NECY ARIANA</t>
  </si>
  <si>
    <t>SAN MARTIN PSJ PACHAS MINA DE ORO</t>
  </si>
  <si>
    <t>MATEO CABRERA LOURDES ISABEL</t>
  </si>
  <si>
    <t>Av. garcilazo de la vega 470-Sunampe</t>
  </si>
  <si>
    <t>ROSAS ROJAS JAVIER ELMER</t>
  </si>
  <si>
    <t>CALLE NAZARENO N° 33 - SUNAMPE</t>
  </si>
  <si>
    <t>MARTINEZ LUIS NEYRA LESLIE</t>
  </si>
  <si>
    <t>Nuevo condorillo, san valentin B. 16</t>
  </si>
  <si>
    <t>PADILLA CASTILLA MONICA YASMIN</t>
  </si>
  <si>
    <t>AV. SAN ANTONIO NRO. 396 - GUAYABO, REF. ANTES DE LA 2DA LOZA</t>
  </si>
  <si>
    <t>GARCIA LY FRIEDA VERONICA</t>
  </si>
  <si>
    <t>Carretera Sunampe 351 pasando San Ignacio</t>
  </si>
  <si>
    <t>PATRICIA MELINA DONAYRE LOPEZ</t>
  </si>
  <si>
    <t>av. las nazarenas 62a Huaca Grande</t>
  </si>
  <si>
    <t>MAGALLANES GARCIA JULIO CESAR</t>
  </si>
  <si>
    <t>TOMA DE CALA LT. 17 - CRUZ BLANCA - CHINCHA</t>
  </si>
  <si>
    <t>VILLA CASTILLA MAGDALENA</t>
  </si>
  <si>
    <t>PASAJE TUPAC AMARTU 132 CRUZ BLANCA</t>
  </si>
  <si>
    <t>PAUCAR CASTILLON DIONISIA CECILIA</t>
  </si>
  <si>
    <t>Condorillo Alto Mz. Z Lt. 16, pasando la Posta</t>
  </si>
  <si>
    <t>NAVARRETE QUISPE LUZ ELENA</t>
  </si>
  <si>
    <t>Centro poblado condorillo alto, m z lt 7</t>
  </si>
  <si>
    <t>EDSON RUBEN NAPA CORDOVA (01)</t>
  </si>
  <si>
    <t>SAN PEDRO DE PILPA 133 - SUNAMPE</t>
  </si>
  <si>
    <t>GARCIA YATACO RONALD STALIN</t>
  </si>
  <si>
    <t>BARRIO EL PORVENIR MZ E LOTE 19 - GROCIO PRADO</t>
  </si>
  <si>
    <t>ATUNCAR DE LA CRUZ VICTOR CESAR</t>
  </si>
  <si>
    <t>Av. Fatima 363 - Sunampe</t>
  </si>
  <si>
    <t>CRISOSTOMO CUELLAR ARNALDO</t>
  </si>
  <si>
    <t>PSJ. SANTA ROSA S/N - CRUZ BLANCA</t>
  </si>
  <si>
    <t>RAMOS AQUIJE EDDY GILMORE</t>
  </si>
  <si>
    <t>C.P. CONDORILLO ALTO MZ. N LT. 02 - CHINCHA</t>
  </si>
  <si>
    <t>936 932 786</t>
  </si>
  <si>
    <t>ALMEYDA DE LA CRUZ JHONY JAVIER</t>
  </si>
  <si>
    <t>psj. Santa Angela lt. 05 Cruz Blanca</t>
  </si>
  <si>
    <t>MALLQUI ANAYA SALUSTIA</t>
  </si>
  <si>
    <t>AA.HH. Mina de oro Mz. A lt. 10- Sunampe</t>
  </si>
  <si>
    <t>ATUNCAR ROJAS MARIA LUISA</t>
  </si>
  <si>
    <t>PILPA PASANDO LA CAPILLA</t>
  </si>
  <si>
    <t>LLANOS CHUQUISPUMA JESUS ALBERTO</t>
  </si>
  <si>
    <t>condorillo alto S/N antes del colegio</t>
  </si>
  <si>
    <t>ALMEYDA MAGALLANES ALEJANDRO</t>
  </si>
  <si>
    <t>PSJE 17 Nro. Puerta 131 Sin Barrio C.P. Lomo Largo , SUNAMPE</t>
  </si>
  <si>
    <t>MARTINEZ CASTILLA MARIA YSABEL</t>
  </si>
  <si>
    <t>PSJ. SANTOS CHOCANO N° 148</t>
  </si>
  <si>
    <t>OLIVERO TORRES GLORIA YSABEL</t>
  </si>
  <si>
    <t>Av. Fatima Sunampe</t>
  </si>
  <si>
    <t>OCHOA ALMEYDA JOSE LUIS</t>
  </si>
  <si>
    <t>San pedro de pilpa - Sunampe</t>
  </si>
  <si>
    <t>946 215 112</t>
  </si>
  <si>
    <t>ALMEYDA PACHAS MAGALY TRIPSY</t>
  </si>
  <si>
    <t>Calle San Antonio125 lomo largo</t>
  </si>
  <si>
    <t>MAGALLANES ALMEYDA VICTOR</t>
  </si>
  <si>
    <t>Av. Paraiso Lomo largo, psj. Emeterio 151 - Sunampe</t>
  </si>
  <si>
    <t>GONZALES ATUNCAR MARIA VICTORIA</t>
  </si>
  <si>
    <t>CALLE LOS ANGELES N368 - LOMO LARGO - SUNAMPE</t>
  </si>
  <si>
    <t>ROJAS MAGALLANES OLGA</t>
  </si>
  <si>
    <t>Av. Emancipación 390 - Sunampe Ref: frente al local Venture</t>
  </si>
  <si>
    <t>900 544 587</t>
  </si>
  <si>
    <t>TORRES ATUNCAR FRANK LUIS</t>
  </si>
  <si>
    <t>Av. Paraiso 29 - lomo largo - sunampe</t>
  </si>
  <si>
    <t>PEVE GUTIERREZ JHON ROBINSON</t>
  </si>
  <si>
    <t>Avenida principal mz A Lt 11 , centro Poblado Condorillo Alto Ref: Por la bodega Charito</t>
  </si>
  <si>
    <t>971 906 846</t>
  </si>
  <si>
    <t>HUAMAN TASAYCO ANGEL GIOMAR</t>
  </si>
  <si>
    <t>AV. FATIMA LT. 19 - SUNAMPE</t>
  </si>
  <si>
    <t>KATHERINE GIOVANNA PACHAS BARRIOS (WALTER FELIX)</t>
  </si>
  <si>
    <t>BARRIO PORVENIR 485 - GROCIO PRADO</t>
  </si>
  <si>
    <t>PEÑA VERA MARIELLA ROSALIA</t>
  </si>
  <si>
    <t>CALLE JUAN CASTILLO RONCEROS S/N - GROCIO PRADO</t>
  </si>
  <si>
    <t>SANTIAGO NAPA JHON ROBERT</t>
  </si>
  <si>
    <t>PSJ. SAN BLAS N241 - LOMO LARGO - SUNAMPE</t>
  </si>
  <si>
    <t>APOLAYA CUBILLAS ODALINA ESTEFANY</t>
  </si>
  <si>
    <t>Prolong. Benavides</t>
  </si>
  <si>
    <t>923 241 273</t>
  </si>
  <si>
    <t>TASAYCO HERNANDEZ JESSICA FABIOLA</t>
  </si>
  <si>
    <t>Av. alameda 232 - Sunampe</t>
  </si>
  <si>
    <t>BONIFACIO QUISPE EVER PABLO (2)</t>
  </si>
  <si>
    <t>Av. alameda Mz. C lt. 19</t>
  </si>
  <si>
    <t>HUAMAN HUARAKCA CARMEN</t>
  </si>
  <si>
    <t>SAN PEDRO DE PILPA LT 39 - LOMO LARGO - SUNAMPE</t>
  </si>
  <si>
    <t>AZURIN QUISPE LUIS ANGEL</t>
  </si>
  <si>
    <t>Condorillo Alto, De la pista principal hacia abajo</t>
  </si>
  <si>
    <t>940 707 598</t>
  </si>
  <si>
    <t>YATACO HERRERA LUIS EDUARDO</t>
  </si>
  <si>
    <t>Psj. Primavera - Cruz blanca</t>
  </si>
  <si>
    <t>MESIAS MAGALLANES ROBERT</t>
  </si>
  <si>
    <t>Av. Unión n°107 Puerta 05 A , Centro Poblado Santa Rosa- Cruz Blanca</t>
  </si>
  <si>
    <t>TASAYCO LOPEZ CARMEN DEL ROSARIO</t>
  </si>
  <si>
    <t>Calle Santa Teresa Lt. 8 (en la misma tienda chipana)</t>
  </si>
  <si>
    <t>PRIETO LOYOLA REYNALDO</t>
  </si>
  <si>
    <t>San Juan con San pedro de pilpa - Sunampe</t>
  </si>
  <si>
    <t>09267192</t>
  </si>
  <si>
    <t>TIMAURE CAMACHO CAROLINA COROMOTO</t>
  </si>
  <si>
    <t>CL. Santa Teresa 355 Entrada a Sant aFe- Sunampe</t>
  </si>
  <si>
    <t>004377762</t>
  </si>
  <si>
    <t>SIFUENTES CRISOSTOMO MARYORI DARLIN</t>
  </si>
  <si>
    <t>Santo Toribio #120 - Sunampe Ref: para atrás de pilpa</t>
  </si>
  <si>
    <t>MELANY PAOLA TORRES LEVANO</t>
  </si>
  <si>
    <t>AV. MELCHORITA N° 1216 - GROCIO PRADO</t>
  </si>
  <si>
    <t>SALDAÑA CHUQUISPUMA SARA LUZ</t>
  </si>
  <si>
    <t>MZNA Y NRO. LOTE 2 SIN BARRIO C. P. CONDORILLO ALTO - CHINCHA ALTA</t>
  </si>
  <si>
    <t>MENESES TORRES VICTOR</t>
  </si>
  <si>
    <t>Av. Arenales s/n (pasando el megamercado de cruz blanca)</t>
  </si>
  <si>
    <t>LEVANO CANTO CARLOS ALBERTO</t>
  </si>
  <si>
    <t>Av. la alameda nº 232 interior 5 - Sunampe</t>
  </si>
  <si>
    <t>960 581 966</t>
  </si>
  <si>
    <t>AVALOS MENDOZA YENY LISSET</t>
  </si>
  <si>
    <t>AVDA HUASCAR Nro. Lote 3 MZ D1 Sin Barrio C.P. San Ignacio , SUNAMPE</t>
  </si>
  <si>
    <t>CASTAÑEDA MATIAS ROGGER MARTIN</t>
  </si>
  <si>
    <t>Av. las nazarenas huaca grande  - Sunampe mz. a lt. 22</t>
  </si>
  <si>
    <t>ATUNCAR NAPA ANA CECILIA</t>
  </si>
  <si>
    <t>Av. Paraiso n° 48 - Sunampe</t>
  </si>
  <si>
    <t>ABREGU MAGALLANES FERNANDO ALEXANDER</t>
  </si>
  <si>
    <t>Psj. Santa Rosa - Cruz Blanca - Oruro parte Alta</t>
  </si>
  <si>
    <t>VILLA MAGALLANES CARMEN RUBI</t>
  </si>
  <si>
    <t>Calle Sebastián Barranca S/N - Cruz Blanca</t>
  </si>
  <si>
    <t>AQUINO MAGALLANES JASON</t>
  </si>
  <si>
    <t>AV. 28 de Julio 909 - Grocio Prado</t>
  </si>
  <si>
    <t>HUAMAN VILLA CARLOS ALBERTO</t>
  </si>
  <si>
    <t>Calle san vicente ferrer parada de los amigos nº 300 int. 5 - sunampe</t>
  </si>
  <si>
    <t>LEVANO PEÑA DANIEL ALBERTO</t>
  </si>
  <si>
    <t>Psj santa rosa cruz blanca espalda estadio</t>
  </si>
  <si>
    <t>VILLA TASAYCO JOSE</t>
  </si>
  <si>
    <t>Psj. La victoria - Lomo largo - San Pedro de pilpa - Sunampe</t>
  </si>
  <si>
    <t>987 776 269</t>
  </si>
  <si>
    <t>TORRES MENDOZA FELICITA BEATRIZ</t>
  </si>
  <si>
    <t>Av. Melchorita nº 813- Grocio Prado Ref: Colegio media luna espalda del restaurante Yanella</t>
  </si>
  <si>
    <t>NAVARRETE CARBAJAL ROSARIO DEL PILAR</t>
  </si>
  <si>
    <t>Av. San Antonio M. c Lt. 06 - Sunampe</t>
  </si>
  <si>
    <t>CASTILLA MUNAYCO MANUEL ELISBAN</t>
  </si>
  <si>
    <t>CL. ANDRES CORCINO Nº 154 B - EL PORVENIR - GROCIO PRADO</t>
  </si>
  <si>
    <t>NAPA YATACO ZULLY TERESA</t>
  </si>
  <si>
    <t>Av. san pedro de pilpa 159 int B</t>
  </si>
  <si>
    <t>VILLAVICENCIO SALVADOR MARTIN GUILLERMO</t>
  </si>
  <si>
    <t>Urb. las palmeras F15 Huaca grande</t>
  </si>
  <si>
    <t>PEÑA YATACO JUAN CESAR</t>
  </si>
  <si>
    <t>Av Santa Rosa 229 Sunampe</t>
  </si>
  <si>
    <t>981 474 206</t>
  </si>
  <si>
    <t>MATIAS ALMEYDA MIGUEL ANGEL</t>
  </si>
  <si>
    <t>Calle las lomas  - La Victoria Sunampe</t>
  </si>
  <si>
    <t>ZONA: SUNAMPE – CALLE LIMA</t>
  </si>
  <si>
    <t>SAENZ MAGALLANES JULIO CESAR</t>
  </si>
  <si>
    <t>CALLE LIMA 349- Sunampe (A DOS PUERTAS DE LA POLLERÍA AJÍ SECO)</t>
  </si>
  <si>
    <t>DE LA CRUZ LEVANO FIORELLA DAMARI</t>
  </si>
  <si>
    <t>espalda del habana club - Sunampe</t>
  </si>
  <si>
    <t>FELIPA LOPEZ JORGE LUIS</t>
  </si>
  <si>
    <t>LA VICTORIA Nº 128</t>
  </si>
  <si>
    <t>GONZALES PEÑA MARIA ESTHER</t>
  </si>
  <si>
    <t>CL. SAN IGNACIO MZ.  I1 LT. 04 - SUNAMPE</t>
  </si>
  <si>
    <t>GUEVARA ORTIZ KARLA MELISSA</t>
  </si>
  <si>
    <t>A.A.H.H NUEVO SAN VALENTIN B15</t>
  </si>
  <si>
    <t>CASACHAGUA LARA LILIANA ALICIA</t>
  </si>
  <si>
    <t>AV. JOSE SANTOS CHOCANO N155 - LOMO LARGO - SUNAMPE</t>
  </si>
  <si>
    <t>YATACO MAGALLANES MILAGROS MARCELA</t>
  </si>
  <si>
    <t>A.A.H.H NUEVO SAN VALENTIN - PRIMERA ENTRADA</t>
  </si>
  <si>
    <t>SARAVIA DE YATACO MARITSA YSABEL</t>
  </si>
  <si>
    <t>San Pedro de Pilpa - PSJE SAN BLAS Nro.Lote 09 Sunampe</t>
  </si>
  <si>
    <t>MORON RONCEROS ADALBERTO GUILLERMO</t>
  </si>
  <si>
    <t>AV. EL PORVENIR LOTE 30(CASA DE 2 PISOS, COSTADO DE UNA TIENDA)</t>
  </si>
  <si>
    <t>VASQUEZ VELASQUEZ ALEXANDRA LISSETH</t>
  </si>
  <si>
    <t>C.P. CONDORILLO ALTO MZ R LT 10 - CHINCHA</t>
  </si>
  <si>
    <t>PACHAS SANCHEZ ALFREDO CARLOS</t>
  </si>
  <si>
    <t>Pado de Gómez N 102    C. P  Huaca Grande.</t>
  </si>
  <si>
    <t>940 601 252</t>
  </si>
  <si>
    <t>CORDOVA DE LA CRUZ ABIMAEL FERNANDO</t>
  </si>
  <si>
    <t>AV. SAN RAFEEL SN - GROCIO PRADO</t>
  </si>
  <si>
    <t>VILLAVICENCIO GONZALES ORLANDO LUIS</t>
  </si>
  <si>
    <t>Urb Las Palmeras Mz. D, lote 14, Huaca Grande, Sunampe.</t>
  </si>
  <si>
    <t>GUERRA MARTINEZ MARIA MILAGROS</t>
  </si>
  <si>
    <t>Cruz blanca, toma de cala</t>
  </si>
  <si>
    <t>RUIZ CLAVIJO PAOLA</t>
  </si>
  <si>
    <t>URB. SAN ANTONIO Nº 127 - CERCADO SUNAMPE</t>
  </si>
  <si>
    <t>SOLARI MAGALLANES JULIO CESAR</t>
  </si>
  <si>
    <t>Calle santa Rosa 153 sunampe chincha</t>
  </si>
  <si>
    <t>MAGALLANES ROSSI PAULO FELIX</t>
  </si>
  <si>
    <t>AV. FATIMA S/N - SUNAMPE</t>
  </si>
  <si>
    <t>PACHAS PASACHE KAREN JACKELINE 2</t>
  </si>
  <si>
    <t>Av. Jose pardo Mz V lt 10 (Es en toda la esquina de jose pardo y 28 de julio)</t>
  </si>
  <si>
    <t>SANCHEZ ALMEYDA WILLIAM ARMANDO</t>
  </si>
  <si>
    <t>Av. Paraiso - Lomo largo - Sunampe</t>
  </si>
  <si>
    <t>MAGALLANES PEREZ ZOILA</t>
  </si>
  <si>
    <t>Av. San Francisco 191 - San Ignacio - Sunampe</t>
  </si>
  <si>
    <t>941 295 671</t>
  </si>
  <si>
    <t>PACHAS YATACO MIRTHA YESENIA</t>
  </si>
  <si>
    <t>AV. SANTA ROSA S/N (SEGUNDA ENTRADA) - SUNAMPE</t>
  </si>
  <si>
    <t>ATUNCAR MENESES BRYAN ALEXANDER</t>
  </si>
  <si>
    <t>Av. San Pedro de Pilpa - Sunampe</t>
  </si>
  <si>
    <t>GARCIA OCHOA ERICK MIGUEL</t>
  </si>
  <si>
    <t>AA.HH. VIRGEN DEL CARMEN MZ. F LT. 10, CRUZ BLANCA - CHINCHA</t>
  </si>
  <si>
    <t>CARBAJAL TASAYCO ALBERTO</t>
  </si>
  <si>
    <t>ENTRADA CONDORILLO PSJ GONZALES PRADA 205</t>
  </si>
  <si>
    <t>930 647 571</t>
  </si>
  <si>
    <t>YATACO GONZALES ROSA ESTHER</t>
  </si>
  <si>
    <t>PSJ. JASMIN S/N, MINA DE ORO - SUNAMPE</t>
  </si>
  <si>
    <t>SARAVIA VELA ROCIO HAYDEE</t>
  </si>
  <si>
    <t>Av. San Antonio   - Santa Rosa - Sunampe</t>
  </si>
  <si>
    <t>981 168 789</t>
  </si>
  <si>
    <t>AVALOS MUÑOZ CYNTHIA MARIBEL</t>
  </si>
  <si>
    <t>Av.melchorita 506 - grocio prado</t>
  </si>
  <si>
    <t>RODRIGUEZ PEÑA PEDRO CLAUDIO ALEJANDRO</t>
  </si>
  <si>
    <t>AV. San ignacio 147 - Sunampe</t>
  </si>
  <si>
    <t>ROJAS QUISPE KARY DEL ROCIO</t>
  </si>
  <si>
    <t>Calle Santa tereza 281-Sunampe</t>
  </si>
  <si>
    <t>959 207 013</t>
  </si>
  <si>
    <t>SARAVIA SOLARI YULIANA SARITA</t>
  </si>
  <si>
    <t>Calle La Victoria 247 - Sunampe</t>
  </si>
  <si>
    <t>947 502 742</t>
  </si>
  <si>
    <t>DE LA CRUZ CONTRERAS RICHARD JESUS</t>
  </si>
  <si>
    <t>Av.fatima última cuadra , pasando bodega Viña San Francisco</t>
  </si>
  <si>
    <t>944 498 166</t>
  </si>
  <si>
    <t>SALVADOR ABURTO ANA MARIA</t>
  </si>
  <si>
    <t>PSJE SAN PEDRO Nª PUERTA 11 SIN BARRIO C.P. HUACA GRANDE- SUNAMPE</t>
  </si>
  <si>
    <t>YATACO MAGALLANES JORGE</t>
  </si>
  <si>
    <t>AA.HH. VIRGEN DEL CARMEN MZ. L LT. 26- Cruz Blanca</t>
  </si>
  <si>
    <t>GONZALES AQUIJE ANGELINA CAROLINA NATHALY</t>
  </si>
  <si>
    <t>AA.HH. VIRGEN DEL CARMEN MZ. H LT. 02 - CRUZ BLANCA</t>
  </si>
  <si>
    <t>930 595 896</t>
  </si>
  <si>
    <t>MAGALLANES GARCIA LUZ MARLENY</t>
  </si>
  <si>
    <t>Ulises San Valentín manzana Gn Lote 4- Condorillo</t>
  </si>
  <si>
    <t>TORRES BELLEZA SAYRA ELIZABETH</t>
  </si>
  <si>
    <t>Psj Sucre espalda del estadio mina de oro</t>
  </si>
  <si>
    <t>CORDOVA DE LA CRUZ JORGE LUIS</t>
  </si>
  <si>
    <t>CL. SAN ANTONIO S/N, BARRIO MELCHORITA II - GROCIO PRADO</t>
  </si>
  <si>
    <t>CHUMBIAUCA ALMEYDA ELIZABETH</t>
  </si>
  <si>
    <t>AV. PRINCIPAL S/N, HUACA GRANDE</t>
  </si>
  <si>
    <t>DAGA MENDOZA WALTER JESUS</t>
  </si>
  <si>
    <t>PSJ. SANTA ANGELA, FRENTE AL MEGA MERCADO - CRUZ BLANCA</t>
  </si>
  <si>
    <t>VALENCIA SARAVIA ELIZABETH</t>
  </si>
  <si>
    <t>PSJ. SAN GREGORIO S/N, LA ALAMEDA  - SUNAMPE</t>
  </si>
  <si>
    <t>ALMEYDA APOLAYA LUCERO JANET</t>
  </si>
  <si>
    <t>CONDOMINIO SAN PABLO - SUNAMPE</t>
  </si>
  <si>
    <t>FUENTES DE LA CRUZ FATIMA DEL ROSARIO</t>
  </si>
  <si>
    <t>Av. Fatima - Sunampe  710</t>
  </si>
  <si>
    <t>TORRES ROMAN JUNIOR SMITH</t>
  </si>
  <si>
    <t>AV. HUASCAR 130  A - SAN IGNACIO</t>
  </si>
  <si>
    <t>YATACO NAVARRETE MARIA JULIA</t>
  </si>
  <si>
    <t>AV. HUASCAR - SAN IGNACIO</t>
  </si>
  <si>
    <t>ALMEYDA AMORETTI YESSYCA</t>
  </si>
  <si>
    <t>AV. PARAISO - LOMO LARGO REF. COSTADO DE LA CAPILLA CACHUY</t>
  </si>
  <si>
    <t>GARCIA HERNANDEZ LEYLA CONSUELO</t>
  </si>
  <si>
    <t>Pasaje la frontera 136 - lomo largo Ref: antes de la Scorpia</t>
  </si>
  <si>
    <t>972 159 681</t>
  </si>
  <si>
    <t>TORRES AVALOS ALEJANDRO</t>
  </si>
  <si>
    <t>AV. HUASCAR 130 - SAN IGNACIO- SUNAMPE  REF PLAZUELA DE SAN IGNACIO 1 CDA ADELANTE</t>
  </si>
  <si>
    <t>APOLAYA MARCOS PAMELA</t>
  </si>
  <si>
    <t>PSJ ALMEYDA, LA ALAMEDA - SUNAMPE</t>
  </si>
  <si>
    <t>TIPISMANA PACHAS CARMEN LUCERO</t>
  </si>
  <si>
    <t>Huaca grande Lt. 55-04 - Sunampe</t>
  </si>
  <si>
    <t>PACHAS SANCHEZ DORIS MARLENE</t>
  </si>
  <si>
    <t>Av san jose 29 - huaca grande</t>
  </si>
  <si>
    <t>GUTIERREZ PACHAS CESAR FERNANDO</t>
  </si>
  <si>
    <t>TOMA DE CALA LOTE 11 - CRUZ BLANCA</t>
  </si>
  <si>
    <t>RAMOS ATUNCAR PATRICIA ARACELY</t>
  </si>
  <si>
    <t>PSJ. DONAYRE N° 375 - CHINCHA ALTA</t>
  </si>
  <si>
    <t>ZONA: CHINCHA - AMERICA</t>
  </si>
  <si>
    <t>VILLA SARAVIA MARIA GLADYS</t>
  </si>
  <si>
    <t>PSJE VILLA S/N-PARADA DE LOS AMIGOS GROCIO PRADO REF: pasando la capilla</t>
  </si>
  <si>
    <t>MAGALLANES TASAYCO JUAN JESUS</t>
  </si>
  <si>
    <t>AA.HH SAN VALENTIN F-4, CC.PP. CONDORILLO ALTO</t>
  </si>
  <si>
    <t>984 202 663</t>
  </si>
  <si>
    <t>NAPA AVALOS JUAN JOSE</t>
  </si>
  <si>
    <t>Calle jorge chavez Mz B Lote 16  CHACARITA</t>
  </si>
  <si>
    <t>ZONA: SUNAMPE – CHACARITA</t>
  </si>
  <si>
    <t>CARBAJAL PACHAS FIORELLA RUBI</t>
  </si>
  <si>
    <t>PSJ. PACHAS - MINA DE ORO - SUNAMPE</t>
  </si>
  <si>
    <t>ROJAS MARCELO AQUILES</t>
  </si>
  <si>
    <t>CL. JORGE CHAVEZ MZ C. - LT. 24 - BARRIO CHACARITA - SUNAMPE</t>
  </si>
  <si>
    <t>PARIONA POMA LUIS ALBERTO</t>
  </si>
  <si>
    <t>CALLE LAS FLORES S/N - CHACARITA</t>
  </si>
  <si>
    <t>946 414 460</t>
  </si>
  <si>
    <t>CHIQUILLAN CUYA MAYUMI GLADYS ZADITH</t>
  </si>
  <si>
    <t>Pasaje beata melchorita-Cruz blanca Ref: Por el colegio 22234 a la mano derecha al fondo</t>
  </si>
  <si>
    <t>918 893 400</t>
  </si>
  <si>
    <t>PORTILLA NAPA MARIA ESTHER</t>
  </si>
  <si>
    <t>AV. LAS FLORES N134 - CHACARITA - SUNAMPE</t>
  </si>
  <si>
    <t>MOLINA CENTURION MARIA EDITHA</t>
  </si>
  <si>
    <t>CALLE LOS ANGELES 442, LOMO LARGO</t>
  </si>
  <si>
    <t>CORDOVA DE LA CRUZ JUNIOR GIANCARLOS</t>
  </si>
  <si>
    <t>AV. SAN RAFAEL S/N - GROCIO PRADO</t>
  </si>
  <si>
    <t>MUÑOZ ATUNCAR RUBEN CARLOS</t>
  </si>
  <si>
    <t>CALLE SAN PEDRO DE PILPA N° 156-02 - SUNAMPE</t>
  </si>
  <si>
    <t>923 455 593</t>
  </si>
  <si>
    <t>ROMERO ROJAS JOHANNY CAROLINA</t>
  </si>
  <si>
    <t>Calle San Blas 440 - San Pedro de Pilpa</t>
  </si>
  <si>
    <t>ATUNCAR TASAYCO GILDA ESTHER</t>
  </si>
  <si>
    <t>SAN PEDRO DE PILPA N514 - SUNAMPE</t>
  </si>
  <si>
    <t>ALMEYDA SOLARI BERTHA GLADYS</t>
  </si>
  <si>
    <t>CALLE TUPAC AMARU Nª 395 - SUNAMPE (Ref. Espalda de la Munic)</t>
  </si>
  <si>
    <t>948 643 610</t>
  </si>
  <si>
    <t>DE LA CRUZ JACOBO JULIO CESAR</t>
  </si>
  <si>
    <t>AV. PRIMAVERA N° 300 - SUNAMPE</t>
  </si>
  <si>
    <t>902 575 234</t>
  </si>
  <si>
    <t>ALMEYDA AMORETTI EDGAR</t>
  </si>
  <si>
    <t>AV. PARAISO, PSJ. 17 - LOMO LARGO - SUNAMPE</t>
  </si>
  <si>
    <t>SALVADOR DE VILLAVICENCIO ANA GLADYS</t>
  </si>
  <si>
    <t>CONDOMINIO LAS PALMERAS B-29 - C.P. HUACA GRANDE - SUNAMPE</t>
  </si>
  <si>
    <t>TORRES LUJAN ALEJANDRO JUNIOR</t>
  </si>
  <si>
    <t>AV. SAN CRISTOBAL N196, VILLA JULIA - SUNAMPE</t>
  </si>
  <si>
    <t>967 858 313</t>
  </si>
  <si>
    <t>MAGALLANES SALVADOR VICTOR ALEXIS</t>
  </si>
  <si>
    <t>Psj. Jose Olaya ex pilpa</t>
  </si>
  <si>
    <t>993 189 596</t>
  </si>
  <si>
    <t>MARTINEZ SARAVIA KARINA JHOANNA</t>
  </si>
  <si>
    <t>AA.HH. LA UNION HACE LA FUERZA MZ. D LT. 10 -  SUNAMPE</t>
  </si>
  <si>
    <t>AVALOS MENDOZA MARIA DEL ROSARIO</t>
  </si>
  <si>
    <t>CALLE JORGE CHAVEZ MZ C LT 17, CHACARITA - SUNAMPE</t>
  </si>
  <si>
    <t>945 695 618</t>
  </si>
  <si>
    <t>CHAVEZ NEYRA VICTOR EUSEBIO</t>
  </si>
  <si>
    <t>AV. PROGRESO N398 - INT 10 - CONDORILLO</t>
  </si>
  <si>
    <t>ZONA: CHINCHA - PROGRESO</t>
  </si>
  <si>
    <t>969 187 145</t>
  </si>
  <si>
    <t>MAGALLANES OLIVERO JAVIER ENRIQUE</t>
  </si>
  <si>
    <t>MINA DE ORO MZ B LT 01 - SUNAMPE</t>
  </si>
  <si>
    <t>983 771 337</t>
  </si>
  <si>
    <t>MEDRANO SALDAÑA MARIA DEL CARMEN</t>
  </si>
  <si>
    <t>AV. LA ALAMEDA Nº215 - SUNAMPE</t>
  </si>
  <si>
    <t>MENDIGUETE ALMEYDA LUIS ALBERTO</t>
  </si>
  <si>
    <t>PANAMERICANA SUR 1769, entrada de parada de los amigos</t>
  </si>
  <si>
    <t>LEVANO DE LA CRUZ FRANCISCA ESTHER</t>
  </si>
  <si>
    <t>AV. SANTA RITA N°204 (AMERICA) - CHINCHA ALTA</t>
  </si>
  <si>
    <t>956 505 830</t>
  </si>
  <si>
    <t>07597465</t>
  </si>
  <si>
    <t>CARPIO MOSQUERA MANUEL RUFINO</t>
  </si>
  <si>
    <t>AV. JOSE OLAYA, PSJ. LOS CIRUELOS S/N - AMERICA - CHINCHA</t>
  </si>
  <si>
    <t>CASAS ANTON MARIA JESUS</t>
  </si>
  <si>
    <t>AA.HH. VIRGEN DEL CARMEN MZ B LT 09 - CRUZ BLANCA</t>
  </si>
  <si>
    <t>934 499 161</t>
  </si>
  <si>
    <t>MATIAS MATIAS ANIBAL</t>
  </si>
  <si>
    <t>AV. PARAISO S/N, LOMO LARGO - SUNAMPE</t>
  </si>
  <si>
    <t>956 149 489</t>
  </si>
  <si>
    <t>AVALOS FLORES YENNY LISETH</t>
  </si>
  <si>
    <t>PSJ. JOSE OLAYA N°899 - CHINCHA ALTA (La playita)</t>
  </si>
  <si>
    <t>YATACO VELASQUEZ ANGEL DOMINGO</t>
  </si>
  <si>
    <t>AV. SANTO TOMAS N109 - CHINCHA ALTA</t>
  </si>
  <si>
    <t>LEVANO ALMEYDA GIANELLA ANGELINA</t>
  </si>
  <si>
    <t>AV. SANTA ROSA S/N - SUNAMPE ( Referencia frente al estadio sunampe)</t>
  </si>
  <si>
    <t>ROJAS PACHAS JACINTO</t>
  </si>
  <si>
    <t>PASO DE GOMEZ Nº140 - SUNAMPE</t>
  </si>
  <si>
    <t>MATIAS PEÑALOZA CRISTIAN GUSTAVO</t>
  </si>
  <si>
    <t>CALLE LAS NAZARENAS Nº36 - HUACA GRANDE - SUNAMPE</t>
  </si>
  <si>
    <t>HERRERA MARTINEZ AUGUSTO ALFREDO</t>
  </si>
  <si>
    <t>PSJ. UNION SANTA ROSA - CRUZ BLANCA</t>
  </si>
  <si>
    <t>RAMOS BALTAZAR MAGDIEL</t>
  </si>
  <si>
    <t>CL TOMA DE CALA LT17, CRUZ BLANCA</t>
  </si>
  <si>
    <t>906 628 589</t>
  </si>
  <si>
    <t>ALFONSO HUAMAN YOEL ALFREDO</t>
  </si>
  <si>
    <t>PSJ. JORGE CHAVEZ S/N - SUNAMPE</t>
  </si>
  <si>
    <t>LOYOLA RAMOS MARTIN</t>
  </si>
  <si>
    <t>AV. PARAISO OESTE 317 - LOMO LARGO - SUNAMPE</t>
  </si>
  <si>
    <t>MAMANI GUTIERREZ MARIA ALEJANDRA</t>
  </si>
  <si>
    <t>CALLE JORGE CHAVEZ MZ. C LT. 24, CHACARITA - SUNAMPE</t>
  </si>
  <si>
    <t>MAGALLANES HERRERA MARITZA</t>
  </si>
  <si>
    <t>PSJ. PRIMAVERA S/N - CRUZ BLANCA - CHINCHA</t>
  </si>
  <si>
    <t>TORRES RAMOS HENRY</t>
  </si>
  <si>
    <t>PSJ. SAN FRANCISCO 191 - SAN IGNACIO - SUNAMPE</t>
  </si>
  <si>
    <t>987 820 479</t>
  </si>
  <si>
    <t>FELIX LEVANO EDWIN EDUARDO</t>
  </si>
  <si>
    <t>AV. PRIMAVERA N710, C.P. LA VICTORIA - SUNAMPE</t>
  </si>
  <si>
    <t>VASQUEZ ZAPATA JESSICA KATHERINE</t>
  </si>
  <si>
    <t>AV. LA MAR N° 468 - LOMO LARGO - SUNAMPE</t>
  </si>
  <si>
    <t>956 271 875</t>
  </si>
  <si>
    <t>CARBAJAL HERRERA PABLO ADOLFO</t>
  </si>
  <si>
    <t>AV. VICTORIA N341 - CRUZ BLANCA</t>
  </si>
  <si>
    <t>ALMEYDA TORRES NICOLL DAYANNA</t>
  </si>
  <si>
    <t>CALLE TUPAC AMARU N340 - SUNAMPE</t>
  </si>
  <si>
    <t>955 336 277</t>
  </si>
  <si>
    <t>TORRES TASAYCO VICTOR HUGO</t>
  </si>
  <si>
    <t>PSJ. 2 DE MAYO N° 309 - CRUZ BLANCA</t>
  </si>
  <si>
    <t>YATACO RAMIREZ ADRIANA NICOLE</t>
  </si>
  <si>
    <t>AV. SAN CRISTOBAL N°196 - 14 - C.P. SAN IGNACIO - SUNAMPE</t>
  </si>
  <si>
    <t>PALLIN HUARCAYA CARLOS AURELIO</t>
  </si>
  <si>
    <t>PSJ. VILLA S/N, CALLE SAN VICENTE DE FERRER - SUNAMPE</t>
  </si>
  <si>
    <t>918 102 342</t>
  </si>
  <si>
    <t>CASTILLA YATACO MARIA ESTHEFANI</t>
  </si>
  <si>
    <t>CALLE JOSE SANTOS CHOCANO N°146 - SAN PEDRO DE PILPA - SUNAMPE</t>
  </si>
  <si>
    <t>980 539 380</t>
  </si>
  <si>
    <t>CRISOSTOMO RIVADENEYRA GLADYS</t>
  </si>
  <si>
    <t>AV. SAN ANTONIO, PSJ. 58 PUERTA N°165 - SUNAMPE</t>
  </si>
  <si>
    <t>912 344 640</t>
  </si>
  <si>
    <t>ROJAS TORNERO ENERT JOEL</t>
  </si>
  <si>
    <t>AV. ALFONSO UGARTE Nº 140 - CERCADO DE SUNAMPE</t>
  </si>
  <si>
    <t>REQUEJO GUERRA JANNET</t>
  </si>
  <si>
    <t>CALLE VICTOR RAUL HAYA DE LA TORRE - CHACARITA</t>
  </si>
  <si>
    <t>LEON CHAMBI JUANA ROSA</t>
  </si>
  <si>
    <t>AA.HH. JESUS MARIA Y JOSE MZ. C LT 01. - CHACARITA - SUNAMPE</t>
  </si>
  <si>
    <t>DE LA CRUZ GONZALES KARINA HILDA</t>
  </si>
  <si>
    <t>PSJ. BENAVIDES N° 138-04 - CERCADO CHINCHA ALTA (PROGRESO)</t>
  </si>
  <si>
    <t>946 307 544</t>
  </si>
  <si>
    <t>CUADROS ECHANDIA SEBASTIAN YAIR</t>
  </si>
  <si>
    <t>URB. LEON DE VIVERO MZ. 17 LT 03 - PUEBLO NUEVO</t>
  </si>
  <si>
    <t>ZONA: PUEBLO - SALVADOR</t>
  </si>
  <si>
    <t>MARTINEZ DE LA CRUZ RICHARD ANTHONY</t>
  </si>
  <si>
    <t>SAN PEDRO DE PILPA S/N - SUNAMPE</t>
  </si>
  <si>
    <t>946 489 470</t>
  </si>
  <si>
    <t>DIAZ ROJAS ENEIDA ZULEMA</t>
  </si>
  <si>
    <t>UPIS KEIKO SOFIA MZ. U LT. 12 - PUEBLO NUEVO</t>
  </si>
  <si>
    <t>975 290 503</t>
  </si>
  <si>
    <t>CASTRO AVALOS LUIS FERNANDO</t>
  </si>
  <si>
    <t>AA.HH. EL SALVADOR MZ. N LT. 06 - PUEBLO NUEVO</t>
  </si>
  <si>
    <t>FLORES VALENZUELA MARIA JACKELINE</t>
  </si>
  <si>
    <t>AV. PROGRESO N° 309 - CERCADO DE CHINCHA</t>
  </si>
  <si>
    <t>955 552 511</t>
  </si>
  <si>
    <t>CASAS DE LA CRUZ ELIZABETH</t>
  </si>
  <si>
    <t>CL. EL CARMEN N°207 (PSJ. LOS CIRUELOS) - CRUZ BLANCA</t>
  </si>
  <si>
    <t>998 350 397</t>
  </si>
  <si>
    <t>CASTILLA MARCOS DIANA CAROLINA</t>
  </si>
  <si>
    <t>AA.HH. VIRGEN DEL CARMEN MZ. E LT. 10 - CRUZ BLANCA</t>
  </si>
  <si>
    <t>FELIX MARCOS VERONICA GLORIA</t>
  </si>
  <si>
    <t>AV. SANTA RITA S/N, PSJ. JABONCILLO - CONDORILLO BAJO - CHINCHA</t>
  </si>
  <si>
    <t>965 691 720</t>
  </si>
  <si>
    <t>BENDEZU INCACUTIPA RAUL ALDO</t>
  </si>
  <si>
    <t>AA.HH. BEATA MELCHORITA MZ. H LT. 10 - PUEBLO NUEVO</t>
  </si>
  <si>
    <t>999 563 187</t>
  </si>
  <si>
    <t>VASCONSUELOS NAPA DENILSON ADAMIR</t>
  </si>
  <si>
    <t>PSJ. SAN NICOLAS N° 257 - C.P. MONTE RICO MZ. P LT. 05 - SUNAMPE</t>
  </si>
  <si>
    <t>SARAVIA YATACO MARIA ELISETH</t>
  </si>
  <si>
    <t>CL. NUEVA ESPERANZA LT. 29, BARRIO MELCHORITA II - GROCIO PRADO</t>
  </si>
  <si>
    <t>CARDENAS GONZALES MARISSA CRISTINA</t>
  </si>
  <si>
    <t>PSJ. EMANCIPACION S/N, PASO DE GOMEZ - SUNAMPE</t>
  </si>
  <si>
    <t>FLORES CHAVEZ GIOVANNA MARISOL</t>
  </si>
  <si>
    <t>FUNDO COLORADO MZ. C LT. 07 - GROCIO PRADO</t>
  </si>
  <si>
    <t>956 004 149</t>
  </si>
  <si>
    <t>SANCHEZ NAPA ROCIO PATRICIA</t>
  </si>
  <si>
    <t>AV. ALVA MAURTUA MZ. O LT. 05, PSJ SOTELO - CRUZ BLANCA</t>
  </si>
  <si>
    <t>CALDERON TASAYCO BIANCA FABIOLA</t>
  </si>
  <si>
    <t>AA.HH. VIRGEN DEL CARMEN MZ. C LT.06 - CHINCHA ALTA</t>
  </si>
  <si>
    <t>ANTON QUISPE BRITNEY ROSALINDA</t>
  </si>
  <si>
    <t>AA.HH VIRGEN DEL CARMEN MZ. G LT. 15 - CHINCHA ALTA</t>
  </si>
  <si>
    <t>YATACO MAGALLANES ANGEL DAVID</t>
  </si>
  <si>
    <t>C.P. CONDORILLO ALTO MZ. H LT. 8 - CHINCHA</t>
  </si>
  <si>
    <t>MARALLANO FLORES CATHERIN JULISSA</t>
  </si>
  <si>
    <t>URB. LEON DE VIVERO MZ. 17 LT. 07 - PUEBLO NUEVO</t>
  </si>
  <si>
    <t>931 260 639</t>
  </si>
  <si>
    <t>PAUCAR CASTILLON ANGEL GABINO</t>
  </si>
  <si>
    <t>FUNDO COLORADO MZ. C LT.03 - GROCIO PRADO</t>
  </si>
  <si>
    <t>ROMERO GARRIAZO JOSE ALBERTO</t>
  </si>
  <si>
    <t>PSJ. SARAVIA S/N - CERCADO DE GROCIO PRADO</t>
  </si>
  <si>
    <t>MENDOZA ALMEYDA VICTOR JEAN PIERRE</t>
  </si>
  <si>
    <t>AV. FATIMA 1 LT. 03 - SUNAMPE</t>
  </si>
  <si>
    <t>943 899 710</t>
  </si>
  <si>
    <t>MAGALLANES HERRERA MARITZA  - HIJA</t>
  </si>
  <si>
    <t>960 962 921</t>
  </si>
  <si>
    <t>TASAYCO YOVERA ERIKA MELCHORITA</t>
  </si>
  <si>
    <t>AV. SAN FRANCISCO N°156 - SAN IGNACIO - SUNAMPE</t>
  </si>
  <si>
    <t>AMARO FERNANDEZ CORNEJO LUIS MIGUEL</t>
  </si>
  <si>
    <t>León de vivero mz 3 lt 16- pueblo nuevo</t>
  </si>
  <si>
    <t>995 389 364</t>
  </si>
  <si>
    <t>DE LA CRUZ LUYO ALCIDES</t>
  </si>
  <si>
    <t>AA.HH. EL SALVADOR MZ. F LT. 01 - PUEBLO NUEVO</t>
  </si>
  <si>
    <t>MUCHAYPIÑA AGUILAR WILMER OMAR</t>
  </si>
  <si>
    <t>AA.HH. BEATA MELCHORITA MZ. C LT. 05 - PUEBLO NUEVO</t>
  </si>
  <si>
    <t>AGUILAR HERNANDEZ DE MUCHAYPIÑA MARIA ELIZABETH</t>
  </si>
  <si>
    <t>URB. LEON DE VIVERO MZ. 04 LT. 07 - PUEBLO NUEVO</t>
  </si>
  <si>
    <t>956 791 396</t>
  </si>
  <si>
    <t>PACHAS ALARCON JOSELYN JANET</t>
  </si>
  <si>
    <t>PSJ. RAMON CASTILLA N° 135 - SUNAMPE (CHACARITA)</t>
  </si>
  <si>
    <t>MONTOYA CARDENAS LUIS ENRIQUE</t>
  </si>
  <si>
    <t>Av. Las Nazarenas S/N del Centro Poblado</t>
  </si>
  <si>
    <t>CHUQUISPUMA RAMOS BRYAN ANTHONY</t>
  </si>
  <si>
    <t>C.P. CONDORILLO ALTO MZ. O LT. 04 - CHINCHA</t>
  </si>
  <si>
    <t>961 760 002</t>
  </si>
  <si>
    <t>MUNICIPALIDAD DISTRITAL DE SUNAMPE</t>
  </si>
  <si>
    <t>PZA. DE ARMAS NRO. 100 - ICA CHINCHA SUNAMPE</t>
  </si>
  <si>
    <t>PASTOR ROJAS PATRICIA DEL  PILAR</t>
  </si>
  <si>
    <t>AV. SANTA ROSA N° 312 - C.P. LOMO LARGO - SUNAMPE</t>
  </si>
  <si>
    <t>MARTINEZ YATACO VERONICA LISSET</t>
  </si>
  <si>
    <t>AA.HH. VIRGEN DEL CARMEN MZ. I LT. 6 - CHINCHA ALTA</t>
  </si>
  <si>
    <t>ATUNCAR ROJAS ARMANDO FRANCISCO</t>
  </si>
  <si>
    <t>CL. SAN PEDRO DE PILPA N°172 - ALFONSO UGARTE - SUNAMPE</t>
  </si>
  <si>
    <t>954 076 020</t>
  </si>
  <si>
    <t>ROSAS LAY KEVIN</t>
  </si>
  <si>
    <t>AV. SAN MARTIN N°599, MINA DE ORO - SUNAMPE</t>
  </si>
  <si>
    <t>SARAVIA MUNAYCO JORGE ARTURO</t>
  </si>
  <si>
    <t>CALLE SAN JUAN N°143, SAN PEDRO DE PILPA - SUNAMPE</t>
  </si>
  <si>
    <t>ALBINO YATACO JERSON ALEXANDER</t>
  </si>
  <si>
    <t>CL. SAN VICENTE FERRER, PUERTA B - CERCADO GROCIO PRADO</t>
  </si>
  <si>
    <t>929 784 592</t>
  </si>
  <si>
    <t>ROJAS ALMEYDA MARTIN ARMANDO</t>
  </si>
  <si>
    <t>CALLE LOS PALTOS N°117,  LOMO LARGO - SUNAMPE</t>
  </si>
  <si>
    <t>927 796 090</t>
  </si>
  <si>
    <t>GONZALES ATUNCAR CARLOS JOSE</t>
  </si>
  <si>
    <t>PSJ LEVANO - LAS BEGONIAS N° A-02, DOS PUENTES - CHINCHA ALTA</t>
  </si>
  <si>
    <t>937 650 700</t>
  </si>
  <si>
    <t>HUAMAN SARAVIA WILLIAM MIGUEL</t>
  </si>
  <si>
    <t>PSJ. SAN BLAS N° 160, BARRIO ALFONSO UGARTE - SUNAMPE</t>
  </si>
  <si>
    <t>922 854 023</t>
  </si>
  <si>
    <t>HERNANDEZ NAPA CARLOS EDUARDO</t>
  </si>
  <si>
    <t>CL. VICTOR RAUL HAYA DE LA TORRE S/N, CHACARITA - SUNAMPE</t>
  </si>
  <si>
    <t>MARTINEZ MACHARI ALEXANDER ANDERSON</t>
  </si>
  <si>
    <t>CC.PP NUEVO CONDORILLO - SAN VALENTIN G-8</t>
  </si>
  <si>
    <t>926 767 635</t>
  </si>
  <si>
    <t>HERRERA LEVANO ANA MARIA</t>
  </si>
  <si>
    <t>UPIS VILLA ESPERANZA MZ. B LT. 15, MINA DE ORO - SUNAMPE</t>
  </si>
  <si>
    <t>975 338 281</t>
  </si>
  <si>
    <t>GALLEGOS SANCHEZ CARMEN DEL ROSARIO</t>
  </si>
  <si>
    <t>CL. SANTA ROSA N° 251 - SUNAMPE</t>
  </si>
  <si>
    <t>974 088 503x</t>
  </si>
  <si>
    <t>CUEVA RICOPA SEGUNDO DAVID</t>
  </si>
  <si>
    <t>CC.PP. MINA DE ORO MZ. B LT.27 - SUNAMPE</t>
  </si>
  <si>
    <t>MAURICIO SARAVIA RENZO</t>
  </si>
  <si>
    <t>PSJE. SAN MIGUEL LOTE 06, BARRIO CHACARITA - SUNAMPE</t>
  </si>
  <si>
    <t>918 737 827</t>
  </si>
  <si>
    <t>SOTELO RAMOS WILLIAN ALEXANDER</t>
  </si>
  <si>
    <t>PSJE SAN MIGUEL MZ B LOTE 22, BARRIO CHACARITA - SUNAMPE</t>
  </si>
  <si>
    <t>SEBASTIAN FLORES DEYCI YOVANA</t>
  </si>
  <si>
    <t>C.P. CONDORILLO ALTO - MZ N - LT. 16 - CHINCHA ALTA</t>
  </si>
  <si>
    <t>CHUQUISPUMA QUISPE SANDRA CAROLINA</t>
  </si>
  <si>
    <t>C.P. CONDORILLO ALTO - MZ. N  LT. 20 - CHINCHA ALTA</t>
  </si>
  <si>
    <t>984 393 444</t>
  </si>
  <si>
    <t>SAYRITUPAC DIAZ MELUSCA</t>
  </si>
  <si>
    <t>CL. BENAVIDES N° 340, EL PORVENIR - GROCIO PRADO</t>
  </si>
  <si>
    <t>GUTIERREZ QUISPE SOFIA EDITH</t>
  </si>
  <si>
    <t>C.P CONDORILLO ALTO MZ. A - LT. 05, CONDORILLO ALTO - CHINCHA ALTA</t>
  </si>
  <si>
    <t>941 026 194</t>
  </si>
  <si>
    <t>RAMIREZ TASAYCO OSWALDO</t>
  </si>
  <si>
    <t>PSJ. PASO DE GOMEZ N° 104 - SUNAMPE</t>
  </si>
  <si>
    <t>ALFONSO TORRES GREGORIO ALFREDO</t>
  </si>
  <si>
    <t>AV. ALFONSO UGARTE N° 544 - SAN PEDRO DE PILPA - SUNAMPE</t>
  </si>
  <si>
    <t>DE LA CRUZ TASAYCO GILBERTO</t>
  </si>
  <si>
    <t>PSJ. JOSE OLAYA N° 899 46 - CERCADO DE CHINCHA ALTA</t>
  </si>
  <si>
    <t>SARAVIA SEBASTIAN YANNINA</t>
  </si>
  <si>
    <t>C.P. SAN ANTONIO MZ. F LT. 11, SANTA ROSA- SUNAMPE</t>
  </si>
  <si>
    <t>934 102 473</t>
  </si>
  <si>
    <t>CONDEÑA ESPINOZA WALTER AQUILES</t>
  </si>
  <si>
    <t>PSJ. AVALOS Nº 12 - PROGRESO - CHINCHA ALTA</t>
  </si>
  <si>
    <t>MENDOZA YATACO CYNTHIA NATALY</t>
  </si>
  <si>
    <t>Pasaje Santo Domingo 102 -Santo Toribio- Sunampe</t>
  </si>
  <si>
    <t>SOLANO DE LA CRUZ MIGUEL</t>
  </si>
  <si>
    <t>C.P. CONDORILLO ALTO MZ. Z LT. 24 - CHINCHA ALTA</t>
  </si>
  <si>
    <t>NAPA CASTILLA GUSTAVO ANTONIO</t>
  </si>
  <si>
    <t>PSJ. EL MILAGRO S/N, LOMO LARGO - SUNAMPE</t>
  </si>
  <si>
    <t>MAGALLANES CASAS STEFANY BRIDID</t>
  </si>
  <si>
    <t>CALLE EL CARMEN N° 207 - CRUZ BLANCA - CHINCHA</t>
  </si>
  <si>
    <t>ORTIZ CASTILLA YESENIA</t>
  </si>
  <si>
    <t>HUSARES DE JUNIN MZ. N LT. 11 - PUEBLO NUEVO</t>
  </si>
  <si>
    <t>900 776 069</t>
  </si>
  <si>
    <t>CALDERON NUÑEZ JHON MARCOS</t>
  </si>
  <si>
    <t>AA.HH. VIRGEN DE FATIMA MZ B LT. 10 (AMERICA) - CHINCHA ALTA</t>
  </si>
  <si>
    <t>959 870 368</t>
  </si>
  <si>
    <t>TASAYCO MAGALLANES ALICIA MARIA (002)</t>
  </si>
  <si>
    <t>CL. EL CARMEN, PSJ. PACHAS N° 59 - CRUZ BLANCA - CHINCHA</t>
  </si>
  <si>
    <t>SARAVIA ATUNCAR ANGELO ALEXANDER</t>
  </si>
  <si>
    <t>AV. LAS VIÑAS 500-12 - SUNAMPE</t>
  </si>
  <si>
    <t>ATUNCAR MARQUEZ HAROLD EDUARDO</t>
  </si>
  <si>
    <t>AV. LAS VIÑAS EMANCIPACIÓN N° 500 INT. 12 - SUNAMPE (REF. HOSP. CESAR)</t>
  </si>
  <si>
    <t>HUAMAN SARAVIA JULIO MARTIN</t>
  </si>
  <si>
    <t>CARRETERA SUNAMPE N° 128, C.P. HUACA GRANDE - SUNAMPE</t>
  </si>
  <si>
    <t>993 506 186</t>
  </si>
  <si>
    <t>DIAZ QUISPE KAROLAY MIRELLA</t>
  </si>
  <si>
    <t>CALLE LAS VIÑAS S/N - SUNAMPE</t>
  </si>
  <si>
    <t>904 277 253</t>
  </si>
  <si>
    <t>UNIVERSIDAD AUTONOMA DE ICA SAC</t>
  </si>
  <si>
    <t>CL. SEÑOR DE LUNER N° 234 - C.P. LOMO LARGO - SUNAMPE</t>
  </si>
  <si>
    <t>GARCIA MENDIGUETE ELISET</t>
  </si>
  <si>
    <t>CL. LAS FRONTERAS N° 181, C.P. LOMO LARGO - SUNAMPE</t>
  </si>
  <si>
    <t>ALVARADO JUAREZ ANTHONY JACOB</t>
  </si>
  <si>
    <t>PSJ. 2 DE MAYO LT. 07 - CRUZ BLANCA - CHINCHA</t>
  </si>
  <si>
    <t>ROJAS BACIGALUPO CESAR ANTONIO</t>
  </si>
  <si>
    <t>CL. 09 DE DICIEMBRE N° 151, CERCADO DE SUNAMPE</t>
  </si>
  <si>
    <t>956 064 829</t>
  </si>
  <si>
    <t>SARAVIA TORRES TERESA YSABEL</t>
  </si>
  <si>
    <t>CL. LA PALMA N° 114, TOMA DE CARRIZO - GROCIO PRADO</t>
  </si>
  <si>
    <t>951 679 716</t>
  </si>
  <si>
    <t>BENITES BOCANEGRA FRANCISCO HERMAN</t>
  </si>
  <si>
    <t>PSJ. SAN JUAN LT. 94A - ALFONSO UGARTE - SUNAMPE</t>
  </si>
  <si>
    <t>09736546</t>
  </si>
  <si>
    <t>NAPA MARTINEZ MARIA</t>
  </si>
  <si>
    <t>CL. VICTOR RAUL HAYA DE LA TORRE MZ. K LT. 27 - CHACARITA - SUNAMPE</t>
  </si>
  <si>
    <t>ATUNCAR ALMEYDA ANGEL JESUS</t>
  </si>
  <si>
    <t>CL. SANTA TERESA S/N - BAJADA DEL SOCORRO - SUNAMPE</t>
  </si>
  <si>
    <t>977 655 697</t>
  </si>
  <si>
    <t>ROJAS CONTRERAS CECILIA</t>
  </si>
  <si>
    <t>AV. MONTERICO N° 405 - C.P. MONTE RICO - SUNAMPE (REF. PASANDO EL COLEGIO SIMON BOLIVAR)</t>
  </si>
  <si>
    <t>CASTAÑEDA SULCA ROSA LINDA</t>
  </si>
  <si>
    <t>CC.PP. NUEVO CONDORILLO - SAN VALENTIN MZ. I LT. 12 - CHINCHA</t>
  </si>
  <si>
    <t>DE LA CRUZ QUISPE VICTORIA YSABEL</t>
  </si>
  <si>
    <t>AV. FATIMA N° 373 - SUNAMPE</t>
  </si>
  <si>
    <t>ATUNCAR ALMEYDA DIEGO ALFONSO</t>
  </si>
  <si>
    <t>UR. PAGO DE PILPATOMA DE GONZALES MZ. SN LT. 2-1 - SUNAMPE - CHINCHA</t>
  </si>
  <si>
    <t>ALVAREZ CHUQUISPUMA JHAN MARTIN</t>
  </si>
  <si>
    <t>C.P. CONDORILLO ALTO MZ. N LT. 15 - CHINCHA</t>
  </si>
  <si>
    <t>BOGA SIGUAS GIANCARLO</t>
  </si>
  <si>
    <t>AA.HH. SAN JUDAS TADEO MZ. E LT. 1 - SUNAMPE</t>
  </si>
  <si>
    <t>HUARANCA DURAND VICTOR</t>
  </si>
  <si>
    <t>AA.HH. EL SALVADOR MZ. B LT. 17 - PUEBLO NUEVO</t>
  </si>
  <si>
    <t>DIAZ TASAYCO CARLOS YVAN</t>
  </si>
  <si>
    <t>AA.HH. SAN JUDAS TADEO MZ. E LT. 4 - SUNAMPE - CHINCHA</t>
  </si>
  <si>
    <t>DAVILA DIAZ HILDA XIOMARA</t>
  </si>
  <si>
    <t>AA.HH. SAN JUDAS TADEO MZ. E LT. 5 - SUNAMPE - CHINCHA</t>
  </si>
  <si>
    <t>TASAYCO ARIAS GREGORIO JHONATHAN</t>
  </si>
  <si>
    <t>C.P. CONDORILLO ALTO MZ. U LT. 01 - CHINCHA ALTA</t>
  </si>
  <si>
    <t>947 700 239</t>
  </si>
  <si>
    <t>CASTILLA RIQUELME ALEXANDER</t>
  </si>
  <si>
    <t>CL BENAVIDES LT 11 - BARRIO EL PORVENIR - GROCIO PRADO</t>
  </si>
  <si>
    <t>ZONA: GROCIO - BOTELLEROS</t>
  </si>
  <si>
    <t>952 683 121</t>
  </si>
  <si>
    <t>ANGULO LOYOLA JHAN CARLOS</t>
  </si>
  <si>
    <t>LUIS MASSARO EX PILPA - PLAZA CENTER CHINCHA - FRENTE A USJB STAND 210-D</t>
  </si>
  <si>
    <t>ALMEYDA NAPA GLORIA</t>
  </si>
  <si>
    <t>AA.HH. VIRGEN DEL CARMEN MZ. B LT. 04 - CHINCHA ALTA</t>
  </si>
  <si>
    <t>942 370 984</t>
  </si>
  <si>
    <t>ANTON OSTIA BRYAN LUIS</t>
  </si>
  <si>
    <t>AA.HH. VIRGEN DEL CARMEN MZ. D LT. 17 - CHINCHA ALTA</t>
  </si>
  <si>
    <t>933 949 927</t>
  </si>
  <si>
    <t>MATIAS CRISOSTOMO ANGEL ALBERTO</t>
  </si>
  <si>
    <t>AV. PARAISO LT. 5-B - C.P. PARAISO - SUNAMPE</t>
  </si>
  <si>
    <t>933 241 678</t>
  </si>
  <si>
    <t>APOLAYA ROMERO NELZI KATHERINY</t>
  </si>
  <si>
    <t>PROLG. BENAVIDES LT. 30 - GROCIO PRADO</t>
  </si>
  <si>
    <t>922 693 855</t>
  </si>
  <si>
    <t>CUADROS SARAVIA DIANA CAROLINA</t>
  </si>
  <si>
    <t>PSJ. ANAMPA N° 160 - SUNAMPE</t>
  </si>
  <si>
    <t>927 744 936</t>
  </si>
  <si>
    <t>PAZ CASAVERDE VANESSA</t>
  </si>
  <si>
    <t>UPIS HUSARES DE JUNIN MZ. E LT. 06 - PUEBLO NUEVO</t>
  </si>
  <si>
    <t>JUAREZ TORRES LUCY YAMALI</t>
  </si>
  <si>
    <t>AV. LUIS ALVA MAURTUA  Nº 525 - CRUZ BLANCA - CHINCHA ALTA</t>
  </si>
  <si>
    <t>MELO GUERRA ANSELMO</t>
  </si>
  <si>
    <t>PSJ. SAN MARTIN Nª 474, C.P. MINA DE ORO - SUNAMPE</t>
  </si>
  <si>
    <t>NAPA CASTILLA OSCAR JAVIER</t>
  </si>
  <si>
    <t>Calle san pedro de pilpa 256 -02 - Sunampe</t>
  </si>
  <si>
    <t>908 696 006</t>
  </si>
  <si>
    <t>BRICEÑO DEL RIO FREDY JHON</t>
  </si>
  <si>
    <t>C.P. CONDORILLO ALTO MZ. P LT. 15 - CHINCHA ALTA</t>
  </si>
  <si>
    <t>934 845 612</t>
  </si>
  <si>
    <t>AVILES GUZMAN SERGIO JHOSSUA (GIANELA HEREDIA)</t>
  </si>
  <si>
    <t>UPIS 15 DE NOVIEMBRE / JOSE OLAYA B 13 - DOS PUENTES</t>
  </si>
  <si>
    <t>VELARDE ORTIZ SANTA ANGELICA</t>
  </si>
  <si>
    <t>AA.HH. EL MILAGRO DE SAN JUDAS TADEO MZ. D - LT. 8 - SUNAMPE</t>
  </si>
  <si>
    <t>922 053 311</t>
  </si>
  <si>
    <t>TASAYCO MENDOZA LILIANA CATALINA</t>
  </si>
  <si>
    <t>CL. SAN PEDRO DE PILPA Nª 588 - ALFONSO UGARTE - SUNAMPE</t>
  </si>
  <si>
    <t>912 180 079</t>
  </si>
  <si>
    <t>MAGALLANES ORTIZ VICTOR LUIS</t>
  </si>
  <si>
    <t>CL. EL CARMEN Nª 196, CRUZ BLANCA - CHINCHA ALTA</t>
  </si>
  <si>
    <t>QUISPE PACHAS RONNY PAUL</t>
  </si>
  <si>
    <t>PROL. JUAN CASTILLA RONCERO N° LT 3 B, EL PORVENIR - GROCIO PRADO</t>
  </si>
  <si>
    <t>994 980 680</t>
  </si>
  <si>
    <t>PEREZ TERRONES GRETY</t>
  </si>
  <si>
    <t>CL. MINA DE ORO Nª 06, C.P. MINA DE ORO - SUNAMPE</t>
  </si>
  <si>
    <t>912 143 217</t>
  </si>
  <si>
    <t>VASQUEZ CHUQUISPUMA RUTH ESTHER</t>
  </si>
  <si>
    <t>CL. SEBASTIAN BARRANCA Nº 3 C-1 - FUNDO COLORADO - GROCIO PRADO</t>
  </si>
  <si>
    <t>ALVAREZ CUEVA MARTIN WILLIAM</t>
  </si>
  <si>
    <t>C.P. CONDORILLO ALTO MZ. T - LT. 24 - CHINCHA ALTA</t>
  </si>
  <si>
    <t>964 347 449</t>
  </si>
  <si>
    <t>MENESES TASAYCO BLANCA MARIBEL (02)</t>
  </si>
  <si>
    <t>CL. EL CARMEN N° 210 - CRUZ BLANCA - CHINCHA ALTA</t>
  </si>
  <si>
    <t>QUISPE SANCHEZ LINO</t>
  </si>
  <si>
    <t>UPIS MARIO BIGGIO MZ. D - LT. 02 - GROCIO PRADO</t>
  </si>
  <si>
    <t>ZONA: PUEBLO - TECHO PROPIO</t>
  </si>
  <si>
    <t>YATACO GARCIA DE GARCIA NELLY</t>
  </si>
  <si>
    <t>PSJ. SAN JUAN DE DIOS MZ.-10 LT. 04 - CRUZ BLANCA - CHINCHA</t>
  </si>
  <si>
    <t>CASTILLA MATEO JUAN CARLOS</t>
  </si>
  <si>
    <t>AA.HH. JESUS MARIA Y JOSE Nº D-02 - CHINCHA ALTA</t>
  </si>
  <si>
    <t>MENESES CRISOSTOMO MARILU</t>
  </si>
  <si>
    <t>PSJ. LAS FRONTERAS S/N - LOMO LARGO - SUNAMPE</t>
  </si>
  <si>
    <t>916 728 107</t>
  </si>
  <si>
    <t>PEVE GUERRA OSWALDO EFRAIN</t>
  </si>
  <si>
    <t>C.P. CONDORILLO ALTO MZ. I - LT. 12 - CHINCHA ALTA</t>
  </si>
  <si>
    <t>HUANQUI TRILLO JUAN JOSE</t>
  </si>
  <si>
    <t>AA.HH. LOS ALAMOS MZ 07 - LT. 03 - PUEBLO NUEVO</t>
  </si>
  <si>
    <t>QUISPE SOTELO LAURO FIDEL</t>
  </si>
  <si>
    <t>PSJE SUCRE Nro. Puerta 467 Sin Barrio C.P. Mina de Oro , SUNAMPE</t>
  </si>
  <si>
    <t>923 349 317</t>
  </si>
  <si>
    <t>PACHAS SANCHEZ LUIS ARMANDO</t>
  </si>
  <si>
    <t>AV. EMANCIPACIÓN, PSJE. GUADALUPE Nª 12 - C.P. HUACA GRANDE - SUNAMPE</t>
  </si>
  <si>
    <t>MARTINEZ MINAYA HUGO ANDRES</t>
  </si>
  <si>
    <t>URB. LOS VIÑEDOS MZ. R2 - LT. 07 - CHINCHA ALTA</t>
  </si>
  <si>
    <t>974 636 321</t>
  </si>
  <si>
    <t>ATUNCAR ALMEYDA MARIA FRANCISCA</t>
  </si>
  <si>
    <t>PSJ. ALMEYDA Nª 108 INT. 05 - SUNAMPE</t>
  </si>
  <si>
    <t>960 481 575</t>
  </si>
  <si>
    <t>BAUTISTA TAYPE JOEL ANGEL</t>
  </si>
  <si>
    <t>PSJ. JOSE OLAYA MZ. Q - LT 03 - CHINCHA ALTA</t>
  </si>
  <si>
    <t>904 370 223</t>
  </si>
  <si>
    <t>DE LA CRUZ PACHAS PEDRO ENRIQUE</t>
  </si>
  <si>
    <t>PSJE. PASO DE GOMEZ Nª 111-10C - C.P. HUACA GRANDE - SUNAMPE</t>
  </si>
  <si>
    <t>CENTENO VALENCIA KARINA ABIGAI</t>
  </si>
  <si>
    <t>URB. LOS VIÑEDOS MZ. F1 - LT. 03 - CHINCHA ALTA</t>
  </si>
  <si>
    <t>982 904 223</t>
  </si>
  <si>
    <t>CAMPOS BARRIOS JUANA MILAGROS</t>
  </si>
  <si>
    <t>UPIS SAN ANDRES MZ. F - LT. 19 - PUEBLO NUEVO - CHINCHA</t>
  </si>
  <si>
    <t>956 517 578</t>
  </si>
  <si>
    <t>MARTINEZ VILLAR EPIFANIA CLEMENCIA</t>
  </si>
  <si>
    <t>UPIS SAN ANDRES MZ. A - LT. 06 - PUEBLO NUEVO - CHINCHA</t>
  </si>
  <si>
    <t>971 615 965</t>
  </si>
  <si>
    <t>DIAZ REBATTA EDDER RUBEN</t>
  </si>
  <si>
    <t>AA.HH. EL SALVADOR MZ. J - LT. 02 - PUEBLO NUEVO</t>
  </si>
  <si>
    <t>LOBO MENESES LUIS ALFONSO</t>
  </si>
  <si>
    <t>PSJ. LA FRONTERA Nª 257 - C.P. LOMO LARGO - SUNAMPE</t>
  </si>
  <si>
    <t>HUANQUI TRILLO NAYADE SAIDA (ARMANDO HUANQUI)</t>
  </si>
  <si>
    <t>AV. UNION Nº 3A - LOS ALAMOS - PUEBLO NUEVO</t>
  </si>
  <si>
    <t>960 169 072</t>
  </si>
  <si>
    <t>BARILLAS PEVE DANIEL CERAFIN</t>
  </si>
  <si>
    <t>CL. SEBASTIAN BARRANCA LOTE Nª 14-C - FUNDO COLORADO - GROCIO PRADO</t>
  </si>
  <si>
    <t>GARCIA MARTINEZ CECILIA PATRICIA</t>
  </si>
  <si>
    <t>URB. LOS VIÑEDOS MZ. U2 - LT. 12 - CHINCHA ALTA</t>
  </si>
  <si>
    <t>SANTIAGO SARAVIA VICTOR HUGO</t>
  </si>
  <si>
    <t>UPIS DIVIDA MISERICORDIA MZ. B - LT. 06 - SUNAMPE (BALCONCITO)</t>
  </si>
  <si>
    <t>920 654 635</t>
  </si>
  <si>
    <t>YATACO GARCIA MARIA SANTOS</t>
  </si>
  <si>
    <t>PSJ. DOS DE MAYO S/N - CRUZ BLANCA - CHINCHA</t>
  </si>
  <si>
    <t>LEVANO TORRES MARITZA</t>
  </si>
  <si>
    <t>PSJ. LOS CLAVELES Nª 207 - CRUZ BLANCA - CHINCHA</t>
  </si>
  <si>
    <t>CONOCC HUAMAN MANUEL MARINO</t>
  </si>
  <si>
    <t>PSJ. LA PALMA, FUNDO EL NISPERO LT. 05 - SUNAMPE</t>
  </si>
  <si>
    <t>945 301 046</t>
  </si>
  <si>
    <t>08347575</t>
  </si>
  <si>
    <t>GOITIA PEREZ YHONSONN</t>
  </si>
  <si>
    <t>PSJ. SAN COSME Nª 185, CALLE ROSARIO 7TA CDRA - CHINCHA ALTA</t>
  </si>
  <si>
    <t>ALMEYDA SOLARI BERTHA GLADYS - CATV</t>
  </si>
  <si>
    <t>TASAYCO LEVANO MIGUEL ANGEL</t>
  </si>
  <si>
    <t>PSJ. LOS ANGELES S/N - C.P. MINA DE ORO - SUNAMPE</t>
  </si>
  <si>
    <t>ANCHANTE RICALES ROBERTO CARLOS</t>
  </si>
  <si>
    <t>CL. SAN MARTIN Nª 103 - CHACARITA - SUNAMPE</t>
  </si>
  <si>
    <t>YATACO GARCIA MOISES</t>
  </si>
  <si>
    <t>CL. SAN LUIS Nª 139 - CERCADO DE CHINCHA ALTA</t>
  </si>
  <si>
    <t>CASTILLA VILCHEZ RICARDO ANTONIO</t>
  </si>
  <si>
    <t>PSJE CASTILLA Nª 268 - C. P. SAN PEDRO DE PILPA - SUNAMPE</t>
  </si>
  <si>
    <t>NAPA ABREGU ANGEL DANIEL</t>
  </si>
  <si>
    <t>AV. LUIS ALVA MAURTUA S/N (4TA CDRA) - CRUZ BLANCA - CHINCHA ALTA</t>
  </si>
  <si>
    <t>966 557 234</t>
  </si>
  <si>
    <t>MAGALLANES MAGALLANES MIGUEL ANGEL</t>
  </si>
  <si>
    <t>AV. LUIS ALVA MAURTUA N° 568-01 - CRUZ BLANCA - CHINCHA ALTA</t>
  </si>
  <si>
    <t>VILLALOBOS RAMOS KATI LUCERO</t>
  </si>
  <si>
    <t>AV. ALFONSO UGARTE Nª H-7 - SUNAMPE</t>
  </si>
  <si>
    <t>926 791 781</t>
  </si>
  <si>
    <t>YATACO JACOBO YERSON LEONEL</t>
  </si>
  <si>
    <t>AV. NICOLAS DE PIEROLA Nº 130 - BARRIO SAN MARTIN - SUNAMPE</t>
  </si>
  <si>
    <t>CLEMENTE VILA MIGUEL ANGEL</t>
  </si>
  <si>
    <t>PSJ SANTA ROSA NRO. S/N - CHINCHA ALTA</t>
  </si>
  <si>
    <t>DE LA CRUZ MENDOZA ROSA ELVIRA</t>
  </si>
  <si>
    <t>PSJ. 02 DE MAYO Nª 325 - CRUZ BLANCA - CHINCHA ALTA</t>
  </si>
  <si>
    <t>968 416 588</t>
  </si>
  <si>
    <t>MENDIGUETE LOYOLA MARIA JULIA</t>
  </si>
  <si>
    <t>PSJE SAN VICENTE M-P LT-16 - SAN P. PILPA - SUNAMPE</t>
  </si>
  <si>
    <t>962 402 706</t>
  </si>
  <si>
    <t>TORRES DE LA CRUZ DENISSE ANGELITA</t>
  </si>
  <si>
    <t>AV. HUASCAR Nª 148 - C.P. SAN IGNACIO - SUNAMPE</t>
  </si>
  <si>
    <t>944 197 332</t>
  </si>
  <si>
    <t>CHOQUEZ PAREDES ANA CECILIA</t>
  </si>
  <si>
    <t>CL. JOSÉ OLAYA N° 222-01 CERCADO DE CHINCHA ALTA</t>
  </si>
  <si>
    <t>LEVANO TORRES VICTOR MANUEL</t>
  </si>
  <si>
    <t>CL. SANTA ANGELA Nª 805 - CRUZ BLANCA - CHINCHA ALTA</t>
  </si>
  <si>
    <t>SOTELO TASAYCO BRUCE YENSON</t>
  </si>
  <si>
    <t>CL. EL PORVENIR Nª 104 - C.P. HUACA GRANDE - SUNAMPE</t>
  </si>
  <si>
    <t>965 781 887</t>
  </si>
  <si>
    <t>RAMIREZ RONCEROS YSMELDA YSABEL</t>
  </si>
  <si>
    <t>CL. LAS FLORES Nª 212 - C.P. CHACARITA - SUNAMPE</t>
  </si>
  <si>
    <t>LEGUA GIRAO ANA CECILIA</t>
  </si>
  <si>
    <t>AA. HH. EL MILAGRO SAN JUDAS TADEO - MZ E LOTE 6 - MINA DE ORO - SUNAMPE</t>
  </si>
  <si>
    <t>983 512 122</t>
  </si>
  <si>
    <t>FERNANDEZ MEZA HEBER ANDER</t>
  </si>
  <si>
    <t>AV. PARAISO NRO. PUERTA 496 - C.P. LOMO LARGO - SUNAMPE</t>
  </si>
  <si>
    <t>VILLA GOMEZ GIOVANNA ESTHER (CARLOS HUAMAN OCHOA)</t>
  </si>
  <si>
    <t>CL. SAN PEDRO DE PILPA Nª 235 - C.P. ALFONSO UGARTE NORTE - SUNAMPE</t>
  </si>
  <si>
    <t>RAMOS ALMEYDA ROCIO BEATRIZ</t>
  </si>
  <si>
    <t>CL. MIGUEL GRAU LOTE MZ. M - LT. 11 - C.P. LOMO LARGO - SUNAMPE</t>
  </si>
  <si>
    <t>962 120 170</t>
  </si>
  <si>
    <t>FELIX GARAY DANIELA MILAGROS</t>
  </si>
  <si>
    <t>CL. LOS ANGELES S/N, C.P. LOMO LARGO - SUNAMPE</t>
  </si>
  <si>
    <t>BOGA MESIAS JAIR FRANCISCO</t>
  </si>
  <si>
    <t>AA. HH. EL MILAGRO SAN JUDAS TADEO - MZ C LOTE 06 - MINA DE ORO - SUNAMPE</t>
  </si>
  <si>
    <t>986 178 947</t>
  </si>
  <si>
    <t>ROJAS LAPA GINO PERCY</t>
  </si>
  <si>
    <t>RESIDENCIAL SAN PABLO, LT 27 - SUNAMPE (FRENT. GRIFO PRIMAX)</t>
  </si>
  <si>
    <t>981 210 264</t>
  </si>
  <si>
    <t>LOPEZ YATACO YENY YOLANDA</t>
  </si>
  <si>
    <t>PSJ. LA FRONTERA Nª 150 - C.P. LOMO LARGO - SUNAMPE</t>
  </si>
  <si>
    <t>937 037 075</t>
  </si>
  <si>
    <t>AGUILAR CHUMPITAZ GIOVANA</t>
  </si>
  <si>
    <t>JR. GARCILAZO DE LA VEGA Nº 12 - SECTOR LOS ALAMOS - PUEBLO NUEVO</t>
  </si>
  <si>
    <t>SOTELO DE LA CRUZ JANPOOL ALEXANDRO</t>
  </si>
  <si>
    <t>PSJ EL ANGEL S/N - CERCADO CHINCHA ALTA</t>
  </si>
  <si>
    <t>CANCHARI QUISPE JHONY ANGEL</t>
  </si>
  <si>
    <t>PSJE SAN FRANCISCO MZ. X LT. 8 - C.P. SAN IGNACIO - SUNAMPE</t>
  </si>
  <si>
    <t>963 847 560</t>
  </si>
  <si>
    <t>IBARRA SALAZAR CIRO WILLMAN</t>
  </si>
  <si>
    <t>URB. JULIO ARBOLEDA MZ. B - LT. 04 - CHINCHA ALTA</t>
  </si>
  <si>
    <t>ALMEYDA SANCHEZ PABLO LUIS (LUISA GENTILLE)</t>
  </si>
  <si>
    <t>AV. PARAISO N° 21 - LOMO LARGO - SUNAMPE</t>
  </si>
  <si>
    <t>SANABRIA CONISLLA ERLINDA SONIA</t>
  </si>
  <si>
    <t>Upis  keyko Sofia Mz ñ Lt  20 -Salvador</t>
  </si>
  <si>
    <t>972 027 085</t>
  </si>
  <si>
    <t>CESAR ALBINO MENDIGUETE</t>
  </si>
  <si>
    <t>BARRIO PARADA DE LOS AMIGOS S/N CASERIO SAN PEDRO DE PILPA</t>
  </si>
  <si>
    <t>CARBAJAL SARAVIA CARLOS WILLIAM</t>
  </si>
  <si>
    <t>AV. SAN MARTIN, MZ O - LT. 12 - ANTIGUO SUNAMPE</t>
  </si>
  <si>
    <t>934 210 395</t>
  </si>
  <si>
    <t>APOLAYA VALDEZ FRESIA FIORELLA</t>
  </si>
  <si>
    <t>PSJ. FELIX NRO. 299-15 - BARRIO MELCHORITA II - GROCIO PRADO</t>
  </si>
  <si>
    <t>GARCIA GARCIA SERGIO ALEXANDER</t>
  </si>
  <si>
    <t>ALVA MAURTUA MZ-SN LT 01 - UR. TOMA DE CALA - CHINCHA ALTA</t>
  </si>
  <si>
    <t>SALVADOR TORRES SANDRA MILAGROS</t>
  </si>
  <si>
    <t>CL. SAN VICENTE DE FERRER LT. 02, PSJ. 08 - C.P. SAN PEDRO DE PILPA - SUNAMPE</t>
  </si>
  <si>
    <t>VELASQUEZ CONDORI ELVIS AMILCAR</t>
  </si>
  <si>
    <t>AV. UNION NRO 109 - C.P. SANTA ROSA (CRUZ BLANCA) - CHINCHA ALTA</t>
  </si>
  <si>
    <t>940 583 772</t>
  </si>
  <si>
    <t>CALDERON FLORES NATALI</t>
  </si>
  <si>
    <t>AA.HH 28 DE JULIO MZ. F - LT. 08 - PUEBLO NUEVO</t>
  </si>
  <si>
    <t>ZONA: PUEBLO - LAS AMERICAS</t>
  </si>
  <si>
    <t>981 279 249</t>
  </si>
  <si>
    <t>MAGALLANES ALMEYDA JUAN PABLO</t>
  </si>
  <si>
    <t>PSJE. MAGALLANES - 26 - EL PORVENIR - GROCIO PRADO</t>
  </si>
  <si>
    <t>QUISPE CONISLLA HUBER BASILIO</t>
  </si>
  <si>
    <t>PSJ. SANTA ROSA S/N - CRUZ BLANCHA - CHINCHA ALTA</t>
  </si>
  <si>
    <t>913 747 534</t>
  </si>
  <si>
    <t>MAGALLANES LOYOLA JOSE FELIX</t>
  </si>
  <si>
    <t>AVDA 28 DE JULIO NRO. 1004-04 - GROCIO PRADO</t>
  </si>
  <si>
    <t>902 244 127</t>
  </si>
  <si>
    <t>MADRID CANDIOTE JINA EMILY</t>
  </si>
  <si>
    <t>PSJE. FELIX NRO. 299-14 - BARRIO MELCHORITA II - GROCIO PRADO</t>
  </si>
  <si>
    <t>GUTIERREZ CASTILLA WALTHER ANTONIO</t>
  </si>
  <si>
    <t>PSJE COCO 192 - C.P. MONTERRICO - SUNAMPE</t>
  </si>
  <si>
    <t>TASAYCO HUAROTE MARIA ELENA</t>
  </si>
  <si>
    <t>AV. ARENALES, PSJ PALMERAS S/N - CRUZ BLANCA - CHINCHA ALTA</t>
  </si>
  <si>
    <t>GENTILLE GUTARRA DOMINGO</t>
  </si>
  <si>
    <t>AV. PARAISO N° 201 LOMO LARGO - SUNAMPE</t>
  </si>
  <si>
    <t>966 187 404</t>
  </si>
  <si>
    <t>SOTELO LUNA MIRIAN SANDRA</t>
  </si>
  <si>
    <t>URB. LEON DE VIVERO MZ 01 LT. 23 - PUEBLO NUEVO</t>
  </si>
  <si>
    <t>DIAZ NOVA ANGELICA DEL CARMEN</t>
  </si>
  <si>
    <t>AV. MINA DE ORO N° 360 - SUNAMPE</t>
  </si>
  <si>
    <t>ALMEYDA MENDOZA JOSSELIN JANETH</t>
  </si>
  <si>
    <t>AV. PARAISO N° 106 - C.P. LOMO LARGO - SUNAMPE</t>
  </si>
  <si>
    <t>DIAZ CHUMBIAUCA GIANCARLO</t>
  </si>
  <si>
    <t>PSJE EMANCIPACION MZ. H LT. 09 - C.P. HUACA GRANDE - SUNAMPE</t>
  </si>
  <si>
    <t>CHUMBIAUCA LOZA CECILIA</t>
  </si>
  <si>
    <t>PSJE GUADALUPE MZ. H LT. 10 - C.P. HUACA GRANDE - SUNAMPE</t>
  </si>
  <si>
    <t>CENTENO VALENCIA FABIO QUICO</t>
  </si>
  <si>
    <t>AA-HH. EL SALVADOR MZ. B LT. 16 - PUEBLO NUEVO</t>
  </si>
  <si>
    <t>AVALOS MENDOZA MARIA ESTHER</t>
  </si>
  <si>
    <t>CL. JORGE CHAVEZ MZ. C - LT. 15 - CHACARITA - SUNAMPE</t>
  </si>
  <si>
    <t>ALVAREZ HERNANDEZ ANA LUCERO</t>
  </si>
  <si>
    <t>AV. ALFONSO UGARTE S/N - PUEBLO NUEVO</t>
  </si>
  <si>
    <t>984 307 747</t>
  </si>
  <si>
    <t>MENDOZA DE ALMEYDA MARITZA</t>
  </si>
  <si>
    <t>PSJE LA FRONTERA NRO. PUERTA 150-05 - C.P. LOMO LARGO - SUNAMPE</t>
  </si>
  <si>
    <t>PEREZ HERNANDEZ JORGE ISIDORO</t>
  </si>
  <si>
    <t>AV. AMERICA N° 533 - INT. 03 - PROGRESO - CHINCHA ALTA</t>
  </si>
  <si>
    <t>TITI FLORES MARIA LUISA</t>
  </si>
  <si>
    <t>URB. LEON DE VIVERO NRO. 14-11 - PUEBLO NUEVO</t>
  </si>
  <si>
    <t>LEON AVALOS JOSE LUIS</t>
  </si>
  <si>
    <t>Entrada de borques .s/n chacarita</t>
  </si>
  <si>
    <t>ÑAHUIS QUISPE NORY YESENIA</t>
  </si>
  <si>
    <t>AA. HH. BEATA MELCHORITA NRO. I -15 - PUEBLO NUEVO</t>
  </si>
  <si>
    <t>MONJE VDA DE MESIAS ROXANA</t>
  </si>
  <si>
    <t>PSJE REYES NRO. 165 (DOS PUENTES) - CHINCHA ALTA</t>
  </si>
  <si>
    <t>TORRES SALVADOR FERNANDO</t>
  </si>
  <si>
    <t>PSJE SAN FRANCISCO NRO. PUERTA 176 - C.P. SAN IGNACIO - SUNAMPE</t>
  </si>
  <si>
    <t>COLLACHAGUA TAYPE PATRICIA ESTHER</t>
  </si>
  <si>
    <t>CL. ROSARIO N° 500 INT. 07 - CERCADO DE CHINCHA - CHINCHA ALTA</t>
  </si>
  <si>
    <t>ROJAS RAMOS SONIA MAGALY</t>
  </si>
  <si>
    <t>AVDA. FATIMA S/N - SUNAMPE</t>
  </si>
  <si>
    <t>955 366 521</t>
  </si>
  <si>
    <t>SARAVIA DE LA CRUZ GIOVANA FIORELLA</t>
  </si>
  <si>
    <t>CL. 09 DE OCTUBRE N° 211 - CERCADO GROCIO PRADO</t>
  </si>
  <si>
    <t>MATIAS ROMERO BLANCA ROSA</t>
  </si>
  <si>
    <t>PARAISO S/N - C.P. LOMO LARGO - SUNAMPE - CHINCHA</t>
  </si>
  <si>
    <t>CESAR AGUSTO ROJAS RAMOS</t>
  </si>
  <si>
    <t>AV. FATIMA MZ. I - LT. 01 - SUNAMPE</t>
  </si>
  <si>
    <t>ITURRIZAGA SULCA RUBEN</t>
  </si>
  <si>
    <t>AA.HH. VIRGEN DEL CARMEN MZ I LT 24 - CHINCHA ALTA</t>
  </si>
  <si>
    <t>ACEVEDO MARTINEZ YOVANA</t>
  </si>
  <si>
    <t>AV. SAN ISIDRO N° 1201 - PUEBLO NUEVO</t>
  </si>
  <si>
    <t>VASQUEZ VASQUEZ LUISA BRILLYD</t>
  </si>
  <si>
    <t>JR. LOS MARTINES N° 222 - SAN ISIDRO - PUEBLO NUEVO</t>
  </si>
  <si>
    <t>969 994 573</t>
  </si>
  <si>
    <t>VASQUEZ LUY JON ANGELO FERNANDO</t>
  </si>
  <si>
    <t>AV. LA ALAMEDA S/N - SUNAMPE</t>
  </si>
  <si>
    <t>929 983 460</t>
  </si>
  <si>
    <t>MANRIQUE GUERRA ANAIS GIOVANA</t>
  </si>
  <si>
    <t>C.P. CONDORILLO ALTO MZ. I LOTE 10 - CHINCHA ALTA</t>
  </si>
  <si>
    <t>MARYORI SARAVIA LEVANO</t>
  </si>
  <si>
    <t>AVDA SAN RAFAEL NRO. 258-01 - BARRIO MELCHORITA - GROCIO PRADO</t>
  </si>
  <si>
    <t>CASTILLON CHUQUISPUMA LIZANDRO HERCULES</t>
  </si>
  <si>
    <t>UPIS EL TREBOL MZ. G - LOTE 22 - PUEBLO NUEVO</t>
  </si>
  <si>
    <t>NAPA SARAVIA CARLOS ALBERTO</t>
  </si>
  <si>
    <t>AVDA PANAMERICANA SUR NRO. PUERTA 1629</t>
  </si>
  <si>
    <t>FRANCIA FUENTES JOEL ALEXANDER</t>
  </si>
  <si>
    <t>URB. LEON DE VIVERO MZ. I1 - LT. 04 - PUEBLO NUEVO</t>
  </si>
  <si>
    <t>TAYPE BONIFACIO EDITH ROSARIO</t>
  </si>
  <si>
    <t>PSJE GERANIOS NRO. 14 - C.P. LOMO LARGO - SUNAMPE</t>
  </si>
  <si>
    <t>RODRIGUEZ PEÑA PEDRO CLAUDIO ALEJANDRO  (SERV.2)</t>
  </si>
  <si>
    <t>AV. OSCAR BENAVIDES N° 1025, PANAMERICANA SUR - CHINCHA</t>
  </si>
  <si>
    <t>MORAN CASTRO FELIX LEONARDO</t>
  </si>
  <si>
    <t>CL NICOLAS DE PIEROLA NRO. 183 - SUNAMPE, REF. FRENTE AL CONDOMINIO SAN MARTIN</t>
  </si>
  <si>
    <t>CONSUELO AVALOS SARAVIA DE PALOMINO</t>
  </si>
  <si>
    <t>AVDA. 28 DE JULIO NRO. 909 - GROCIO PRADO</t>
  </si>
  <si>
    <t>CASTILLA DE LA CRUZ HECTOR LUIS</t>
  </si>
  <si>
    <t>CL DOS PUENTES NRO. 128-02 - CERCADO DE CHINCHA - CHINCHA ALTA</t>
  </si>
  <si>
    <t>CANALES MACHUCA MARUJA MARITZA</t>
  </si>
  <si>
    <t>CL SAN MARTIN DE PORRES NRO. PUERTA 12B - LT. 4 - LOS ALAMOS - PUEBLO NUEVO</t>
  </si>
  <si>
    <t>09674727</t>
  </si>
  <si>
    <t>MAYRA LIZETT LEVANO DIAZ</t>
  </si>
  <si>
    <t>PSJE LAS VEGAS MZ.B - LOTE 13 - C.P. MINA DE ORO - SUNAMPE</t>
  </si>
  <si>
    <t>JENNY ESTHER DE LA CRUZ MARCOS</t>
  </si>
  <si>
    <t>PROLONG.SANTO DOMINGO 854-04 - CHINCHA ALTA</t>
  </si>
  <si>
    <t>ELIZABETH YAURI CANDIOTTE</t>
  </si>
  <si>
    <t>UPIS KEIKO SOFIA FUJIMORI MZ. T - LT. 06 - PUEBLO NUEVO</t>
  </si>
  <si>
    <t>HERMAN ROBERT VELASCO MATOS</t>
  </si>
  <si>
    <t>ALVA MAURTUA - 514 - MZ-P LT-SN CP. CRUZ BLANCA - CHINCHA ALTA</t>
  </si>
  <si>
    <t>MUNAYCO MATIAS WALTER</t>
  </si>
  <si>
    <t>CL ICA N° 147 SUNAMPE ANTIGUO - SUNAMPE</t>
  </si>
  <si>
    <t>931 237 317</t>
  </si>
  <si>
    <t>ALEXI XAVIER ATUNCAR MENESES</t>
  </si>
  <si>
    <t>PSJ. LETICIA N°990 - PANAMERICANA SUR (COSTA. BATAN) - CHINCHA</t>
  </si>
  <si>
    <t>NORMA AMPARO RONCEROS GARAY</t>
  </si>
  <si>
    <t>PSJE. SAN CRISTOBAL MZ. B LT. 01 - C.P. SAN IGNACIO - SUNAMPE</t>
  </si>
  <si>
    <t>ROSA MARIA CAVERO FERNANDEZ</t>
  </si>
  <si>
    <t>URB. LEON DE VIVERO MZ. 7 LT. 13 - PUEBLO NUEVO</t>
  </si>
  <si>
    <t>JUAN JESUS GUTIERREZ ALMEYDA</t>
  </si>
  <si>
    <t>PSJE 22 DE DICIEMBRE NRO. 406 A - C.P. MONTERRICO - SUNAMPE</t>
  </si>
  <si>
    <t>SANDRA ARANCELI POMALAZA MUÑOZ</t>
  </si>
  <si>
    <t>AA.HH. CIUDAD SATELITE MZ. C - LT. 02 - PUEBLO NUEVO</t>
  </si>
  <si>
    <t>ZONA: PUEBLO - SATELITE</t>
  </si>
  <si>
    <t>ELENA EVA LORENZA DURAN BLANCO</t>
  </si>
  <si>
    <t>CL COLON NRO. PUERTA 279 02 - CERCADO DE CHINCHA ALTA - CHINCHA ALTA</t>
  </si>
  <si>
    <t>MILAGRITOS DE JESUS GILARDINO LUY DE REYNAGA</t>
  </si>
  <si>
    <t>AV. SAN PEDRO DE PILPA NRO. 268 - SUNAMPE</t>
  </si>
  <si>
    <t>MATIAS ALMEYDA ROXANA ELIZABETH</t>
  </si>
  <si>
    <t>CALLE LIMA 168A - SUNAMPE</t>
  </si>
  <si>
    <t>ISABEL LEONOR MELO VDA DE ALMEYDA</t>
  </si>
  <si>
    <t>AV. PARAISO N° 49 - C.P. LOMO LARGO - SUNAMPE</t>
  </si>
  <si>
    <t>FLOR GIOVANNA PABLO SOLIS</t>
  </si>
  <si>
    <t>AA.HH. LAS ROCAS,  CL PAMPA DE ÑOCO - PUEBLO NUEVO</t>
  </si>
  <si>
    <t>ZONA: PUEBLO - SATELITE - ROCAS</t>
  </si>
  <si>
    <t>995 471 012</t>
  </si>
  <si>
    <t>BLANCA NELLY MESIAS MAGALLANES</t>
  </si>
  <si>
    <t>ALVA MAURTUA MZ. B - LT. 12 - CRUZ BLANCA - CHINCHA ALTA</t>
  </si>
  <si>
    <t>EDITH CAROLINA DE LA CRUZ SOTELO</t>
  </si>
  <si>
    <t>ASOC. NUEVA GENERACION SIGLO XXI MZ. O - LT. 15 - CHINCHA ALTA</t>
  </si>
  <si>
    <t>CARLOS ENRIQUE AVALOS TASAYCO</t>
  </si>
  <si>
    <t>AA. HH. MIGUEL GRAU MZ. C - PUERTA 15 - PUEBLO NUEVO</t>
  </si>
  <si>
    <t>SAUL GARCIA CASTILLA</t>
  </si>
  <si>
    <t>ALVA MAURTUA S/N CRUZ BLANCA</t>
  </si>
  <si>
    <t>GERSON GONZALES HERRERA</t>
  </si>
  <si>
    <t>PSJ GONZALES PRADA NRO. 208 - CRUZ BLANCA - CHINCHA ALTA</t>
  </si>
  <si>
    <t>CRISTIAN MISTOR TORRES MARCOS</t>
  </si>
  <si>
    <t>PSJE ALVA MAURTUA NRO. 132 INT. 8 - C.P. CRUZ BLANCA - CHINCHA ALTA</t>
  </si>
  <si>
    <t>WILBER GUERRA DE LA CRUZ</t>
  </si>
  <si>
    <t>CL. LOS PROCERES NRO 01 - BARRIO EL TIGRE - CHINCHA ALTA</t>
  </si>
  <si>
    <t>SUSANA CYNTHIA PACHAS ALMEYDA</t>
  </si>
  <si>
    <t>AV. HUASCAR LT. 01 - C.P. SAN ANTONIO - SUNAMPE</t>
  </si>
  <si>
    <t>PHAMELA ELUVINA VILCAPUMA HUAMAN</t>
  </si>
  <si>
    <t>AA.HH. LAS ROCAS MZ. A - LT. 06 - PUEBLO NUEVO</t>
  </si>
  <si>
    <t>RITA MAGDALENA MUÑOZ VICENTE</t>
  </si>
  <si>
    <t>AA. HH. CUIDAD SATELITE MZNA-D NRO. 16 - PUEBLO NUEVO</t>
  </si>
  <si>
    <t>IRMA SHELLY RAFAEL ASENCIOS</t>
  </si>
  <si>
    <t>AA.HH. CIUDAD SATELITE MZ. C LT. 07 - PUEBLO NUEVO</t>
  </si>
  <si>
    <t>CAMILA HASEL MAC GUIRRE ORMEÑO</t>
  </si>
  <si>
    <t>MZ. E NRO. PUERTA 02 AA.HH. VIRGEN DEL CARMEN - CHINCHA ALTA</t>
  </si>
  <si>
    <t>NILDA HUAHUATICO PALOMINO</t>
  </si>
  <si>
    <t>AA. HH. LAS ROCAS MZ. J - PUERTA 08 - PUEBLO NUEVO</t>
  </si>
  <si>
    <t>RODRIGUEZ LOPEZ LORENA CAROLINA</t>
  </si>
  <si>
    <t>AA. HH. CIUDAD SATELITE S/N. - PUEBLO NUEVO</t>
  </si>
  <si>
    <t>16.013.293</t>
  </si>
  <si>
    <t>LIDIA YOVANA CRISOSTOMO SARAVIA</t>
  </si>
  <si>
    <t>PSJE SAN BLAS - CALLE A LT. 2 - ALFONSO UGARTE NORTE - SUNAMPE</t>
  </si>
  <si>
    <t>HUAMAN AGUIRRE TEODORA REVECA</t>
  </si>
  <si>
    <t>AA.HH. LAS ROCAS MZ. F - LT. 06 - PUEBLO NUEVO</t>
  </si>
  <si>
    <t>KATHERINE JASMIN LACHUMA IPUSHIMA</t>
  </si>
  <si>
    <t>MZNA A NRO. LOTE 28 - C.P. LAS LOMAS - PUEBLO NUEVO</t>
  </si>
  <si>
    <t>MARIA DEL ROSARIO TASAYCO YATACO</t>
  </si>
  <si>
    <t>AV. PRINCIPAL NRO. 66 SIN BARRIO - C.P. HUACA GRANDE - SUNAMPE</t>
  </si>
  <si>
    <t>MARTINEZ TASAYCO CYNTIA MABEL</t>
  </si>
  <si>
    <t>CL 7 DE DICIEMBRE LT 23 - CERCADO DE GROCIO PRADO</t>
  </si>
  <si>
    <t>ZONA: GROCIO - SAN JOSE</t>
  </si>
  <si>
    <t>RAUL DAVID HUAYTA HUILLCA</t>
  </si>
  <si>
    <t>CL. ANDRES RAZURI N°681 - CERCADO DE CHINCHA ALTA - CHINCHA ALTA</t>
  </si>
  <si>
    <t>HERMES LIZANDRO LEON MERCADO</t>
  </si>
  <si>
    <t>AA. HH. LUCIO JUAREZ OCHOA MZ. E - LOTE 01 - PUEBLO NUEVO</t>
  </si>
  <si>
    <t>BLANCA MARIBEL MENESES TASAYCO</t>
  </si>
  <si>
    <t>PSJE SAN JUAN DE DIOS S/N CRUZ BLANCA CHINCHA ALTA</t>
  </si>
  <si>
    <t>EVELIN MYLUSCA JUAREZ MUCHAYPIÑA</t>
  </si>
  <si>
    <t>URB. LEON DE VIVERO MZ. 04 LT. 5 - PUEBLO NUEVO</t>
  </si>
  <si>
    <t>JESSICA MARGARITA FLORES LA ROSA</t>
  </si>
  <si>
    <t>AA. HH. EL SALVADOR MZ. I - PUERTA 11 - PUEBLO NUEVO</t>
  </si>
  <si>
    <t>ROSA QUISPE ROMERO</t>
  </si>
  <si>
    <t>MZNA G NRO. PUERTA 13 AA.HH. CIUDAD SATELITE PUEBLO NUEVO</t>
  </si>
  <si>
    <t>EDINSON JOSEFT MUÑOZ CHIARA</t>
  </si>
  <si>
    <t>AA.HH. CIUDAD SATELITE MZ. L - PUERTA 01 - PUEBLO NUEVO</t>
  </si>
  <si>
    <t>971 720 162</t>
  </si>
  <si>
    <t>MONICA ESTHER PEÑALOZA DE LA CRUZ</t>
  </si>
  <si>
    <t>AA. HH. EL MILAGRO DE SAN JUDAS TADEO MZ C - LT. 9 - SUNAMPE</t>
  </si>
  <si>
    <t>LIZBETH CRISOSTOMO PACHAS</t>
  </si>
  <si>
    <t>PSJE AMORETTI NRO. PUERTA 588 SUB. 03 SIN BARRIO - SUNAMPE ANTIGUO, SUNAMPE</t>
  </si>
  <si>
    <t>YHOJAN DEYVID YATACO QUISPE</t>
  </si>
  <si>
    <t>EL SALVADOR - MZ P1 LT-6 - 1 LT. 1B - A.H. MIGUEL GRAU - PUEBLO NUEVO</t>
  </si>
  <si>
    <t>ROCIO ESTHER RAMOS FELIPA</t>
  </si>
  <si>
    <t>CL CENTENARIO NRO. PUERTA 155 - GROCIO PRADO</t>
  </si>
  <si>
    <t>977 326 638</t>
  </si>
  <si>
    <t>CARMEN DEL ROSARIO DE LA CRUZ PEREZ</t>
  </si>
  <si>
    <t>PSJE AMORETTI NRO. PUERTA 580 - SUNAMPE, ANTIGUO SUNAMPE</t>
  </si>
  <si>
    <t>MARIA ROSA RODRIGUEZ GONZALES</t>
  </si>
  <si>
    <t>JOSE JOEL TORRES DE LA CRUZ</t>
  </si>
  <si>
    <t>AVDA. EL PORVENIR NRO. 156 - PASO DE GOMEZ - SUNAMPE</t>
  </si>
  <si>
    <t>JOSE DAVID TASAYCO MATIAS</t>
  </si>
  <si>
    <t>AVDA ALFONSO UGARTE Nro. Puerta 331 08 Antiguo Sunampe - SUNAMPE</t>
  </si>
  <si>
    <t>MELCHORITA VILLANUEVA GUERRA</t>
  </si>
  <si>
    <t>" MZNA Z Nro. Puerta 26 C.P. Condorillo Alto CHINCHA ALTA "</t>
  </si>
  <si>
    <t>MARIA EMILIA DE LA CRUZ HUASASQUICHE</t>
  </si>
  <si>
    <t>AVDA LUIS ALVA MAURTUA Nro. Tapa Medidor 01006900 Cercado Chincha Alta CHINCHA ALTA</t>
  </si>
  <si>
    <t>URBANO &amp; MODERNO S.A.C.</t>
  </si>
  <si>
    <t>CALLE SR DE LUREN 234 SUNAMPE</t>
  </si>
  <si>
    <t>FABIO QUICO CENTENO VALENCIA (2)</t>
  </si>
  <si>
    <t>MERCADILLO DE PUEBLO NUEVO STAND 06</t>
  </si>
  <si>
    <t>LILIAM MELCHORITA HERRERA BELLEZA CATV</t>
  </si>
  <si>
    <t>SANTA ROSA , SUNAMPE COSTADO DE PANADERIA JJ</t>
  </si>
  <si>
    <t>JOSE MIGUEL MESIAS TASAYCO</t>
  </si>
  <si>
    <t>JRN LUIS ALVA MAURTUA Nro. Puerta 506 A Sin Barrio Cercado Pueblo Nuevo , PUEBLO NUEVO</t>
  </si>
  <si>
    <t>DIANA CAROLINA ROJAS RAMOS</t>
  </si>
  <si>
    <t>AV. FATIMA LT. 31 - SUNAMPE</t>
  </si>
  <si>
    <t>956 499 148</t>
  </si>
  <si>
    <t>MAXIMO VICTOR LOYOLA SARAVIA</t>
  </si>
  <si>
    <t>PSJE SAN BLAS ALTO Nro. Puerta 430 ; C.P. San Pedro de Pilpa , SUNAMPE</t>
  </si>
  <si>
    <t>06209396</t>
  </si>
  <si>
    <t>WILIAM LINDER CHUQUISPUMA RAMIREZ</t>
  </si>
  <si>
    <t>MZNA B Nro. Lote 05 , H.U. Los Pinos del Sur , GROCIO PRADO</t>
  </si>
  <si>
    <t>982 083 363</t>
  </si>
  <si>
    <t>HILDA GRACIELA TASAYCO ATUNCAR</t>
  </si>
  <si>
    <t>AV.PARAISO 027</t>
  </si>
  <si>
    <t>PIERINA BRILLIT ESTEBAN CABRERA</t>
  </si>
  <si>
    <t>PSJE PASO DE GOMEZ NRO. PUERTA 105 C.P. HUACA GRANDE - SUNAMPE</t>
  </si>
  <si>
    <t>ANA LUCIA ROJAS TORRES</t>
  </si>
  <si>
    <t>PSJE ROJAS SN - CALLE CAMANÁ</t>
  </si>
  <si>
    <t>ESTELA QUISPE SANTIAGO</t>
  </si>
  <si>
    <t>MZNA W NRO. PUERTA 04 UPIS KEIKO SOFIA FUJIMORI PUEBLO NUEVO</t>
  </si>
  <si>
    <t>CHRISTIAN NADIR ESTRADA QUINTO</t>
  </si>
  <si>
    <t>AVDA SAN RAFAEL Nro. Tapa Medidor 96029917 0 Barrio Melchorita II GROCIO PRADO</t>
  </si>
  <si>
    <t>MILAGROS ISABEL VASQUEZ TIPIAN</t>
  </si>
  <si>
    <t>918 232 259</t>
  </si>
  <si>
    <t>MARYORI NICOL CASTILLA MAGALLANES</t>
  </si>
  <si>
    <t>CL DOS PUENTES Nro. Puerta 128 02 Cercado Chincha Alta CHINCHA ALTA</t>
  </si>
  <si>
    <t>MARIANO JANAMPA QUISPE</t>
  </si>
  <si>
    <t>CC.PP NUEVO CONDORILLO - SAN VALENTIN Nro. I-11</t>
  </si>
  <si>
    <t>915 975 003</t>
  </si>
  <si>
    <t>CRISTIAN JOSE MANCILLA CAJA</t>
  </si>
  <si>
    <t>EL SALVADOR mz. D lt. 06</t>
  </si>
  <si>
    <t>ROXANA LUZ CABEZAS LOPEZ</t>
  </si>
  <si>
    <t>CP. MINA DE ORO - AA.HH. FLORES DE MINA MZ. A LT. 10 - SUNAMPE</t>
  </si>
  <si>
    <t>EDGAR EDUARDO AVALOS SARAVIA</t>
  </si>
  <si>
    <t>PSJE SARAVIA S/N - BARRIO EL PORVENIR - GROCIO PRA</t>
  </si>
  <si>
    <t>ELIZABETH FIORELLA CHUQUISPUMA BRICEÑO</t>
  </si>
  <si>
    <t>C.P. CONDORILLO ALTO MZ. O - LT. 2A - CHINCHA ALTA</t>
  </si>
  <si>
    <t>EDSON RUBEN NAPA CORDOVA (02)</t>
  </si>
  <si>
    <t>CL SAN PEDRO DE PILPA NRO. LOTE 1-B8-1A - ALFONSO UGARTE NORTE - SUNAMPE</t>
  </si>
  <si>
    <t>VICTOR HUGO MARQUEZ PASACHE</t>
  </si>
  <si>
    <t>AV. PRINCIPAL S/N - C.P HUACA GRANDE - SUNAMPE</t>
  </si>
  <si>
    <t>NICOL STEFANNY PACHAS YATACO</t>
  </si>
  <si>
    <t>AVDA MINA DE ORO NRO. PUERTA 870 C.P. MINA DE ORO - SUNAMPE</t>
  </si>
  <si>
    <t>MANUEL ANTONIO UCEDA PALOMINO</t>
  </si>
  <si>
    <t>CL SAN MARCELO Nro. Puerta 101 1C Sunampe Antiguo SUNAMPE</t>
  </si>
  <si>
    <t>MARIA DEL ROSARIO ALCALA JACOBO</t>
  </si>
  <si>
    <t>CL. 28 DE JULIO NRO. PUERTA 115 - SUNAMPE</t>
  </si>
  <si>
    <t>CARMEN LIDIA CRISOSTOMO SARAVIA</t>
  </si>
  <si>
    <t>PSJE SAN GREGORIO Nro. Puerta 05 Sunampe Antiguo SUNAMPE</t>
  </si>
  <si>
    <t>MAHALI NOEMI MERALI CASTAÑEDA SULCA</t>
  </si>
  <si>
    <t>CC.PP NUEVO CONDORILLO - SAN VALENTIN G-2 - CHINCHA ALTA</t>
  </si>
  <si>
    <t>PAMELA AGUILAR LACHUMA</t>
  </si>
  <si>
    <t>AA.HH. CIUDAD SATELITE MZ. E LT. 08 - PUEBLO NUEVO</t>
  </si>
  <si>
    <t>CLEYS TAYLOR QUISPE CUEVA</t>
  </si>
  <si>
    <t>MZNA J Nro Casa 11 Sin Barrio AA. HH. Las Rocas</t>
  </si>
  <si>
    <t>LUIS JHONNY MATIAS ANTON</t>
  </si>
  <si>
    <t>PSJE JABONCILLO S/N - CHINCHA ALTA</t>
  </si>
  <si>
    <t>VERONICA DEL PILAR ATUNCAR MUNAYCO</t>
  </si>
  <si>
    <t>PSJE SANTA ROSA LT. 01 - SUNAMPE ANTIGUO -SUNAMPE</t>
  </si>
  <si>
    <t>MOISES MATEO RAMOS RIOS</t>
  </si>
  <si>
    <t>PSJE RAMOS LT. 06 - C.P. SAN ANTONIO - SUNAMPE</t>
  </si>
  <si>
    <t>09756783</t>
  </si>
  <si>
    <t>JOVANA MARLENE SOTELO LUNA</t>
  </si>
  <si>
    <t>MZNA R1 NRO. PUERTA 23 URB. LEON DE VIVERO - PUEBLO NUEVO</t>
  </si>
  <si>
    <t>MIGUEL ANGEL TASAYCO ROJAS</t>
  </si>
  <si>
    <t>JRN 2 DE MAYO Nro. Casa 299 03 Sin Barrio Cercado Chincha Alta, CHINCHA ALTA</t>
  </si>
  <si>
    <t>CLAUDIA ISABEL MESIAS CARBAJAL</t>
  </si>
  <si>
    <t>AVDA VICTORIA Nro. Puerta 332 Cercado Chincha Alta</t>
  </si>
  <si>
    <t>JHAN CARLOS ANGULO LOYOLA (SERV 02)</t>
  </si>
  <si>
    <t>MZNA B Nro. Puerta 01 A Sin Barrio UPIS Divina Misericordia , CHINCHA ALTA</t>
  </si>
  <si>
    <t>CARLOS ALBERTO NAPA SARAVIA</t>
  </si>
  <si>
    <t>JENNY BEATRIZ LOZA JARRIN</t>
  </si>
  <si>
    <t>AA. HH. SR. ASENCION DE CACHUY Nro. MZ-B-L-20 CHINCHA ALTACHINCHA</t>
  </si>
  <si>
    <t>KERLY ESTEFANY MESIAS MONROY</t>
  </si>
  <si>
    <t>AVDA SAN MARTIN Nro. Puerta 446 Sin Barrio Sunampe Antiguo, SUNAMPE</t>
  </si>
  <si>
    <t>RAYMUNDO GONZALO BRAVO FARFAN</t>
  </si>
  <si>
    <t>AVDA FATIMA LT. 37- SUNAMPE</t>
  </si>
  <si>
    <t>JOSE CARLOS DE LA CRUZ ALMEYDA</t>
  </si>
  <si>
    <t>PSJE SAN JUAN Nro. Casa 172 03 Sin Barrio Alfonso Ugarte Norte, SUNAMPE</t>
  </si>
  <si>
    <t>CESAR ALEXANDER YATACO VALVERDE</t>
  </si>
  <si>
    <t>MZNA B Nro. Lote 10 A. H. VILLA ESPERANZA C.P. Mina de Oro, SUNAMPE</t>
  </si>
  <si>
    <t>GREGORIO ANTONIO LEVANO RAMIREZ</t>
  </si>
  <si>
    <t>ROSARIO 503</t>
  </si>
  <si>
    <t>FLOR MARIA LEVANO YATACO</t>
  </si>
  <si>
    <t>CALLE ROSARIO 500</t>
  </si>
  <si>
    <t>EDUARDO ALEXANDER FLORES GONZALES</t>
  </si>
  <si>
    <t>PSJE NAPA Nro. Casa 117 13 Sin Barrio C.P. San Ignacio</t>
  </si>
  <si>
    <t>RICARDO SALVADOR ZAMORA SARAVIA</t>
  </si>
  <si>
    <t>HU. CA. ALFONSO UGARTE Nro. MZ X LT 05 GROCIO PRADOCHINCHA</t>
  </si>
  <si>
    <t>IRIS ROSALINA RAMOS CASTILLA DE FAJARDO</t>
  </si>
  <si>
    <t>UPIS KEIKO SOFIA F NRO. C-10 - PUEBLO NUEVO CHINCHA</t>
  </si>
  <si>
    <t>JUAN CARLOS CASTILLA MATEO</t>
  </si>
  <si>
    <t>CL. MIRAFLORES Nro. Puerta 15 Chacarita SUNAMPE</t>
  </si>
  <si>
    <t>KIARA MELIZA FELIPA YATACO</t>
  </si>
  <si>
    <t>ALFONSO UGARTE - UPIS SAN ANDRES, PASANDO PLAZA DE ARMAS DE SAN ISIDRO</t>
  </si>
  <si>
    <t>ADEMIR TASAYCO DE LA CRUZ</t>
  </si>
  <si>
    <t>PSJE SANTA MARIA Nro. 401 Cercado de Chincha Alta CHINCHA ALTA</t>
  </si>
  <si>
    <t>KARINA CECILIA MARTINEZ PACHAS</t>
  </si>
  <si>
    <t>MZNA H Nro. Puerta 11 AA.HH. El Salvador PUEBLO NUEVO</t>
  </si>
  <si>
    <t>DNI</t>
  </si>
  <si>
    <t>CELULAR</t>
  </si>
  <si>
    <t>ZONA</t>
  </si>
  <si>
    <t>DIRECCION PRINCIPAL</t>
  </si>
  <si>
    <t>NOMBRE</t>
  </si>
  <si>
    <t>ID</t>
  </si>
  <si>
    <t>HUASASQUICHE MAGALLANES MIGUEL</t>
  </si>
  <si>
    <t>Psj Arias S/n - Grocio Prado</t>
  </si>
  <si>
    <t>Zona: GrocioPrado</t>
  </si>
  <si>
    <t>ANTON NAVARRO CINDY ANALI</t>
  </si>
  <si>
    <t>Av. centenario 700</t>
  </si>
  <si>
    <t>Zona: TechoPropio 2</t>
  </si>
  <si>
    <t>VICENTE ARIAS ROSA DELIA</t>
  </si>
  <si>
    <t>C. san juan Grocio Prado</t>
  </si>
  <si>
    <t>DE LA CRUZ QUISPE FRANCISCO</t>
  </si>
  <si>
    <t>Calle San Jose 103</t>
  </si>
  <si>
    <t>ANCHANTE RICALES ARTURO OMAR</t>
  </si>
  <si>
    <t>urb. Oliva razzeto mzn a J lote 28 PUEBLO NUEVO</t>
  </si>
  <si>
    <t>Zona: Rosedal</t>
  </si>
  <si>
    <t>HUAMAN QUISPE FLORIANO GEANNENE</t>
  </si>
  <si>
    <t>San Agustin</t>
  </si>
  <si>
    <t>HUAMAN RAMOS CIRO</t>
  </si>
  <si>
    <t>UPIS  SAN LUIS MZ. E LT. 05 - CHINCHA</t>
  </si>
  <si>
    <t>934 695 614</t>
  </si>
  <si>
    <t>FLORES SANABRIA MEYBY ESPERANZA</t>
  </si>
  <si>
    <t>Upis san agustin MZ L LOTE 12-Chincha Alta</t>
  </si>
  <si>
    <t>GONZALES ASTORAYME PEDRO JHOSEP</t>
  </si>
  <si>
    <t>Rosedal Palermo MZ D Lote 2- Pueblo Nuevo  Ref: a espaldas de la torre</t>
  </si>
  <si>
    <t>NAPA ROJAS MIRIAM LUZ (MARTIN ANTON)</t>
  </si>
  <si>
    <t>pasaje la florida 116 chincha alta costado del Olivar por el hospital san jose</t>
  </si>
  <si>
    <t>Zona: Chincha</t>
  </si>
  <si>
    <t>LOPEZ MAMANI RENE</t>
  </si>
  <si>
    <t>Carretera panamericana sur Nro. 275</t>
  </si>
  <si>
    <t>VASQUEZ VALENCIA JESUS MARTIN</t>
  </si>
  <si>
    <t>Calle Pedro Ronceros #104</t>
  </si>
  <si>
    <t>HUAMAN QUISPE WALMER ALEXANDER</t>
  </si>
  <si>
    <t>Av arenales 420 Tupac amaru zona A</t>
  </si>
  <si>
    <t>ACHARTE MOREYRA YOSELIN ALICIA 02</t>
  </si>
  <si>
    <t>Calle colon tercera cuadra chincha</t>
  </si>
  <si>
    <t>Calle Italia 133 - chincha alta - chincha - Ica</t>
  </si>
  <si>
    <t>ESPINOZA PAUCAR IRMA LIDIA</t>
  </si>
  <si>
    <t>Plaza de armas de San Agustin Mz I Lt.11 ref: Una cuadra antes de la botica universal, casa celeste con rejas negras, en la misma casa hay una tienda</t>
  </si>
  <si>
    <t>ORMEÑO ROJAS ANA VERONICA</t>
  </si>
  <si>
    <t>Calle Francisco Pizarro 109 - Chincha Alta REF:Frente a italika</t>
  </si>
  <si>
    <t>ARANGO ESCOBAR TEOFILO GENARO</t>
  </si>
  <si>
    <t>Satelite primaveral, quinta etapa ref: conocido como Hugo Chavez</t>
  </si>
  <si>
    <t>Zona:  SrMilagros</t>
  </si>
  <si>
    <t>09436528</t>
  </si>
  <si>
    <t>HUATTA HUATTA FRANCISCO FABIO</t>
  </si>
  <si>
    <t>AAHH Señor de los Milagros Mz p1 L 16, Quinta etapa</t>
  </si>
  <si>
    <t>01248667</t>
  </si>
  <si>
    <t>HUAYTA LEYVA CARMEN</t>
  </si>
  <si>
    <t>MZNA Z2 Nro. Lote 17, Amp. Señor de Los Milagros - CHINCHA</t>
  </si>
  <si>
    <t>974 966 848</t>
  </si>
  <si>
    <t>HERRERA SAAVEDRA ESTELA</t>
  </si>
  <si>
    <t>AA.HH. Satelite primaveral Mz. D lt.3</t>
  </si>
  <si>
    <t>GARCIA APOLAYA CARLOS EDUARDO</t>
  </si>
  <si>
    <t>Av Simón Bolívar 328. Cruz Verde -Tambo de mora</t>
  </si>
  <si>
    <t>Zona: Tambo de Mora 2</t>
  </si>
  <si>
    <t>SAAVEDRA ADVINCULA JEYMI YULIANA</t>
  </si>
  <si>
    <t>San Luis Mz.A lote 18 Tambo de Mora</t>
  </si>
  <si>
    <t>AQUIJE CASTILLA FREDY JOEL</t>
  </si>
  <si>
    <t>Upis karin Figueroa Mz B Lt 17 Chincha Baja</t>
  </si>
  <si>
    <t>Zona: Tambo de Mora 1</t>
  </si>
  <si>
    <t>MEDINA PINTO ROSSMERY</t>
  </si>
  <si>
    <t>cruz verde calle Andrés Avelino ceceres 240</t>
  </si>
  <si>
    <t>PACHAS TIPISMANA ELIA</t>
  </si>
  <si>
    <t>MZNA R Nro. Puerta 9C C.P. El Pedregal CHINCHA BAJA Ref: frente al pozo de semapach</t>
  </si>
  <si>
    <t>CARDENAS PEÑA SARA ESTHER</t>
  </si>
  <si>
    <t>Vilma león Mz L lote 23 Tambo de Mora</t>
  </si>
  <si>
    <t>MENESES CANELO LUIS NICOLAS</t>
  </si>
  <si>
    <t>calle muelle 227 tambo de mora</t>
  </si>
  <si>
    <t>TORRES NAVARRETE CESAR JHONNY</t>
  </si>
  <si>
    <t>Vilma leon Mz. B lt. 19</t>
  </si>
  <si>
    <t>MENESES CANELO GLORIA MARIA</t>
  </si>
  <si>
    <t>Tambo de Mora</t>
  </si>
  <si>
    <t>MARCOS MENESES MAGALY AMPARO</t>
  </si>
  <si>
    <t>Calle chorrillos  216- Tambo de Mora Ref: antes del caldo de gallina Juanita</t>
  </si>
  <si>
    <t>Zona: Sunampe</t>
  </si>
  <si>
    <t>CUADROS OSTIA FELIX EDUARDO</t>
  </si>
  <si>
    <t>Av. Fátima - Psj Los Marcelos, Mz i Lot. 51</t>
  </si>
  <si>
    <t>ALMEYDA JACOBO CARLOS ALBERTO</t>
  </si>
  <si>
    <t>Av. la alameda 208 - Sunampe</t>
  </si>
  <si>
    <t>ROJAS RAMOS KARINA</t>
  </si>
  <si>
    <t>Av. Fatima S/N, Psj Rojas- Sunampe</t>
  </si>
  <si>
    <t>MUNAYCO PEÑALOZA GLORIA YSABEL</t>
  </si>
  <si>
    <t>Paso de gomez s/n, camino a huaca grande</t>
  </si>
  <si>
    <t>ALMEYDA ESTEBAN ANA MARIA</t>
  </si>
  <si>
    <t>Av.Fatima 211</t>
  </si>
  <si>
    <t>GARAY TORRES JUAN CARLOS</t>
  </si>
  <si>
    <t>Av. los libertadores 288 sunampe</t>
  </si>
  <si>
    <t>DE LA CRUZ MUNAYCO ANLLY NOEMI</t>
  </si>
  <si>
    <t>Psj moran s/n san Antonio sunampe</t>
  </si>
  <si>
    <t>CHALA MARCHAN FANNY CAROL</t>
  </si>
  <si>
    <t>Psj jazmin #105 - Tambo de Mora Ref: Frente a la Policia nacion de tambo de mora</t>
  </si>
  <si>
    <t>PEREZ TALLA FABIOLA</t>
  </si>
  <si>
    <t>Calle San José S/N</t>
  </si>
  <si>
    <t>906 192 714</t>
  </si>
  <si>
    <t>MATOS MENESES EVELYN YURISAN</t>
  </si>
  <si>
    <t>CALLE MUELLE Nº217 - TAMBO DE MORA</t>
  </si>
  <si>
    <t>PINEDO FELIPA JEREMY TOBARIS</t>
  </si>
  <si>
    <t>NUEVO TAMBO DE MORA MZ. E3 LT 37</t>
  </si>
  <si>
    <t>ATUNCAR PERALTA MARIA ESPERANZA</t>
  </si>
  <si>
    <t>CALLE LUIS  HERRERA Nº 400 - CHINCHA BAJA</t>
  </si>
  <si>
    <t>DE LOS RIOS PINEDO CRISTHIAN ALEXIS</t>
  </si>
  <si>
    <t>AV. DOS DE MAYO N°127 - TAMBO DE MORA</t>
  </si>
  <si>
    <t>977 408 606</t>
  </si>
  <si>
    <t>MAGALLANES CASTILLA ALEX WILFREDO</t>
  </si>
  <si>
    <t>URB. JOSE OLIVA RAZZETO NRO. L - 11 - PUEBLO NUEVO</t>
  </si>
  <si>
    <t>ROSIO ROSAURA SIHUIN ECHEVARRIA</t>
  </si>
  <si>
    <t>UPIS SAN AGUSTIN Nro. A-08  CHINCHA ALTA</t>
  </si>
  <si>
    <t>JONATHAN ALEXIS GOMEZ REYNO</t>
  </si>
  <si>
    <t>VILLA CRUZ mz. H lt. 10</t>
  </si>
  <si>
    <t>ANCHANTE BOADA IVAN MOISES</t>
  </si>
  <si>
    <t>Prolongación sant domingo #170 chincha baja</t>
  </si>
  <si>
    <t>SUNAMPE</t>
  </si>
  <si>
    <t>CHINCHA ALTA</t>
  </si>
  <si>
    <t>GROCIO PRADO</t>
  </si>
  <si>
    <t>PUEBLO NUEVO</t>
  </si>
  <si>
    <t>TAMBO DE MORA</t>
  </si>
  <si>
    <t>TAMANI PACAYA ELITA</t>
  </si>
  <si>
    <t>SANCHEZ MENDOZA SILVANA TEODORA</t>
  </si>
  <si>
    <t>FUENTES HUAROTE PEDRO JOSHELIN</t>
  </si>
  <si>
    <t>MANRIQUE GUERRA JOSE JOEL</t>
  </si>
  <si>
    <t>NAPA CRISOSTOMO RUBEN BAUTISTA</t>
  </si>
  <si>
    <t>CASTILLA ALMEYDA EVELYN LISSETE</t>
  </si>
  <si>
    <t>ROJAS PACHAS YOVANA VANESA</t>
  </si>
  <si>
    <t>AVILES GUZMAN SERGIO JHOSSUA</t>
  </si>
  <si>
    <t xml:space="preserve">MENESES TASAYCO BLANCA MARIBEL </t>
  </si>
  <si>
    <t xml:space="preserve">HUANQUI TRILLO NAYADE SAIDA </t>
  </si>
  <si>
    <t xml:space="preserve">VILLA GOMEZ GIOVANNA ESTHER </t>
  </si>
  <si>
    <t xml:space="preserve">ALMEYDA SANCHEZ PABLO LUIS </t>
  </si>
  <si>
    <t xml:space="preserve">LILIAM MELCHORITA HERRERA BELLEZA </t>
  </si>
  <si>
    <t>NAPA ROJAS MIRIAM LUZ</t>
  </si>
  <si>
    <t xml:space="preserve">ACHARTE MOREYRA YOSELIN ALICIA </t>
  </si>
  <si>
    <t>RAMOS RIOS MOISES MATEO</t>
  </si>
  <si>
    <t>Carretera Sunampe 701 1era entrada Santa Rosa Sunampe</t>
  </si>
  <si>
    <t>Av. San pedro de pilpa 461 - Sunampe</t>
  </si>
  <si>
    <t>C.P. CONDORILLO ALTO MZ J LT 02 - CHICHA</t>
  </si>
  <si>
    <t>Av. San pedro de pilpa 133 - Lomo largo - Sunampe</t>
  </si>
  <si>
    <t>Calle el carmen 107 - Cruz blanca</t>
  </si>
  <si>
    <t>PSJ. SUCRE Nº 470, ESPALDA DE MINA DE ORO - SUNAMPE</t>
  </si>
  <si>
    <t>Pazo de gomez santa rosa , segunda entrada</t>
  </si>
  <si>
    <t>969 681 623</t>
  </si>
  <si>
    <t>924 757 716</t>
  </si>
  <si>
    <t>902 288 927</t>
  </si>
  <si>
    <t>930 999 115</t>
  </si>
  <si>
    <t>934 573 535</t>
  </si>
  <si>
    <t>904 410 306</t>
  </si>
  <si>
    <t>924 702 432</t>
  </si>
  <si>
    <t>998 308 628</t>
  </si>
  <si>
    <t>954 849 614</t>
  </si>
  <si>
    <t>CLIENTE</t>
  </si>
  <si>
    <t>DIRECCIÓN</t>
  </si>
  <si>
    <t>DISTRITO</t>
  </si>
  <si>
    <t>TELÉFONO</t>
  </si>
  <si>
    <t>TIPO</t>
  </si>
  <si>
    <t>FILTRO</t>
  </si>
  <si>
    <t>F1</t>
  </si>
  <si>
    <t>Todos</t>
  </si>
  <si>
    <t>#</t>
  </si>
  <si>
    <t>No especificado</t>
  </si>
  <si>
    <t>Total general</t>
  </si>
  <si>
    <t>DISTRITOS</t>
  </si>
  <si>
    <t>TOTAL</t>
  </si>
  <si>
    <t>%</t>
  </si>
  <si>
    <t>CANASTAS</t>
  </si>
  <si>
    <t>?</t>
  </si>
  <si>
    <t>CANASTAS %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</si>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</sst>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name val="Calibri"/>
    </font>
    <font>
      <b/>
      <sz val="11"/>
      <color theme="0"/>
      <name val="Calibri"/>
      <family val="2"/>
    </font>
    <font>
      <sz val="8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1" fillId="2" borderId="2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723900</xdr:colOff>
      <xdr:row>8</xdr:row>
      <xdr:rowOff>0</xdr:rowOff>
    </xdr:from>
    <xdr:to>
      <xdr:col>18</xdr:col>
      <xdr:colOff>218376</xdr:colOff>
      <xdr:row>23</xdr:row>
      <xdr:rowOff>113929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228841-6F24-15A2-7D60-20EB51AE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524000"/>
          <a:ext cx="5590476" cy="29714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" refreshedDate="46014.151154513886" createdVersion="8" refreshedVersion="8" minRefreshableVersion="3" recordCount="719" xr:uid="{2184980B-EF54-4A0E-B8FE-9824D40A43C1}">
  <cacheSource type="worksheet">
    <worksheetSource ref="A1:H720" sheet="consolidado"/>
  </cacheSource>
  <cacheFields count="8">
    <cacheField name="#" numFmtId="0">
      <sharedItems containsSemiMixedTypes="0" containsString="0" containsNumber="1" containsInteger="1" minValue="1" maxValue="722"/>
    </cacheField>
    <cacheField name="CLIENTE" numFmtId="0">
      <sharedItems/>
    </cacheField>
    <cacheField name="DIRECCIÓN" numFmtId="0">
      <sharedItems/>
    </cacheField>
    <cacheField name="DISTRITO" numFmtId="0">
      <sharedItems count="5">
        <s v="PUEBLO NUEVO"/>
        <s v="CHINCHA ALTA"/>
        <s v="SUNAMPE"/>
        <s v="GROCIO PRADO"/>
        <s v="TAMBO DE MORA"/>
      </sharedItems>
    </cacheField>
    <cacheField name="ZONA" numFmtId="0">
      <sharedItems/>
    </cacheField>
    <cacheField name="TELÉFONO" numFmtId="0">
      <sharedItems containsMixedTypes="1" containsNumber="1" containsInteger="1" minValue="5255873" maxValue="998980535"/>
    </cacheField>
    <cacheField name="DNI" numFmtId="0">
      <sharedItems containsMixedTypes="1" containsNumber="1" containsInteger="1" minValue="10000001" maxValue="80060253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">
  <r>
    <n v="1"/>
    <s v="HUATTA HUATTA FRANCISCO FABIO"/>
    <s v="AAHH Señor de los Milagros Mz p1 L 16, Quinta etapa"/>
    <x v="0"/>
    <s v="Zona:  SrMilagros"/>
    <n v="941778098"/>
    <s v="01248667"/>
    <s v="F1"/>
  </r>
  <r>
    <n v="2"/>
    <s v="FLOR DEL VALLE RODRIGUEZ GARELLI"/>
    <s v="Av. alva maurtua lt 05 Cruz Blanca"/>
    <x v="1"/>
    <s v="ZONA: CRUZ BLANCA PARTE ALTA oruro"/>
    <n v="917638838"/>
    <s v="004039538"/>
    <s v="F1"/>
  </r>
  <r>
    <n v="3"/>
    <s v="TIMAURE CAMACHO CAROLINA COROMOTO"/>
    <s v="CL. Santa Teresa 355 Entrada a Sant aFe- Sunampe"/>
    <x v="2"/>
    <s v="ZONA: SUNAMPE – SANTA FE"/>
    <n v="902253434"/>
    <s v="004377762"/>
    <s v="F1"/>
  </r>
  <r>
    <n v="4"/>
    <s v="YATACO VIDAL JAIME JUAN"/>
    <s v="Calle Parada de los amigos 409 - Sunampe"/>
    <x v="2"/>
    <s v="ZONA: SUNAMPE – SAN PILPA"/>
    <n v="989058641"/>
    <s v="06093318"/>
    <s v="F1"/>
  </r>
  <r>
    <n v="6"/>
    <s v="JANAMPA GOMEZ MAXIMO"/>
    <s v="Condorillo alto MZ I LT 01"/>
    <x v="1"/>
    <s v="ZONA: CRUZ BLANCA CAMPO"/>
    <n v="902102201"/>
    <s v="06567453"/>
    <s v="F1"/>
  </r>
  <r>
    <n v="7"/>
    <s v="DE LA CRUZ QUISPE LILIANA"/>
    <s v="Calle las Nazarenas, S/n Huaca Grande- Sunampe"/>
    <x v="2"/>
    <s v="ZONA: SUNAMPE – HUACA GRANDE"/>
    <n v="977265651"/>
    <s v="06799544"/>
    <s v="F1"/>
  </r>
  <r>
    <n v="8"/>
    <s v="LEVANO DE LA CRUZ FRANCISCA ESTHER"/>
    <s v="AV. SANTA RITA N°204 (AMERICA) - CHINCHA ALTA"/>
    <x v="1"/>
    <s v="ZONA: CHINCHA - PROGRESO"/>
    <s v="956 505 830"/>
    <s v="07597465"/>
    <s v="F1"/>
  </r>
  <r>
    <n v="9"/>
    <s v="CONOCC HUAMAN MANUEL MARINO"/>
    <s v="PSJ. LA PALMA, FUNDO EL NISPERO LT. 05 - SUNAMPE"/>
    <x v="2"/>
    <s v="ZONA: SUNAMPE – SAN PILPA"/>
    <s v="945 301 046"/>
    <s v="08347575"/>
    <s v="F1"/>
  </r>
  <r>
    <n v="10"/>
    <s v="VIOLETA GUTIERREZ GUILLERMO FELICIANO"/>
    <s v="Av. pachacutec 2645 Cruz Blanca"/>
    <x v="1"/>
    <s v="ZONA: CRUZ BLANCA VIRGEN CARMEN"/>
    <n v="997588370"/>
    <s v="08998598"/>
    <s v="F1"/>
  </r>
  <r>
    <n v="11"/>
    <s v="PRIETO LOYOLA REYNALDO"/>
    <s v="San Juan con San pedro de pilpa - Sunampe"/>
    <x v="2"/>
    <s v="ZONA: SUNAMPE – SAN PILPA"/>
    <n v="941310699"/>
    <s v="09267192"/>
    <s v="F1"/>
  </r>
  <r>
    <n v="12"/>
    <s v="ARANGO ESCOBAR TEOFILO GENARO"/>
    <s v="Satelite primaveral, quinta etapa ref: conocido como Hugo Chavez"/>
    <x v="0"/>
    <s v="Zona:  SrMilagros"/>
    <n v="995719091"/>
    <s v="09436528"/>
    <s v="F1"/>
  </r>
  <r>
    <n v="14"/>
    <s v="BENITES BOCANEGRA FRANCISCO HERMAN"/>
    <s v="PSJ. SAN JUAN LT. 94A - ALFONSO UGARTE - SUNAMPE"/>
    <x v="2"/>
    <s v="ZONA: SUNAMPE – SAN PILPA"/>
    <n v="993656810"/>
    <s v="09736546"/>
    <s v="F1"/>
  </r>
  <r>
    <n v="15"/>
    <s v="RAMOS RIOS MOISES MATEO"/>
    <s v="Pazo de gomez santa rosa , segunda entrada"/>
    <x v="2"/>
    <s v="Zona: Sunampe"/>
    <n v="960106705"/>
    <s v="09756783"/>
    <s v="F1"/>
  </r>
  <r>
    <n v="16"/>
    <s v="ROMERO GARRIAZO JOSE ALBERTO"/>
    <s v="PSJ. SARAVIA S/N - CERCADO DE GROCIO PRADO"/>
    <x v="2"/>
    <s v="ZONA: SUNAMPE – SAN PILPA"/>
    <n v="981295133"/>
    <n v="15359111"/>
    <s v="F1"/>
  </r>
  <r>
    <n v="17"/>
    <s v="PALLIN HUARCAYA CARLOS AURELIO"/>
    <s v="PSJ. VILLA S/N, CALLE SAN VICENTE DE FERRER - SUNAMPE"/>
    <x v="2"/>
    <s v="ZONA: SUNAMPE – SAN PILPA"/>
    <s v="918 102 342"/>
    <n v="15359608"/>
    <s v="F1"/>
  </r>
  <r>
    <n v="18"/>
    <s v="CAMPOS BARRIOS JUANA MILAGROS"/>
    <s v="UPIS SAN ANDRES MZ. F - LT. 19 - PUEBLO NUEVO - CHINCHA"/>
    <x v="0"/>
    <s v="ZONA: PUEBLO - TECHO PROPIO"/>
    <s v="956 517 578"/>
    <n v="15439628"/>
    <s v="F1"/>
  </r>
  <r>
    <n v="20"/>
    <s v="MANUEL YSMAEL YARASCA PURAY"/>
    <s v="AA.HH. VIRGEN DEL CARMEN MZ A LT 10 - CRUZ BLANCA"/>
    <x v="1"/>
    <s v="ZONA: CRUZ BLANCA VIRGEN CARMEN"/>
    <s v="950 347 145"/>
    <n v="21519428"/>
    <s v="F1"/>
  </r>
  <r>
    <n v="21"/>
    <s v="RAMOS AQUIJE EDDY GILMORE"/>
    <s v="C.P. CONDORILLO ALTO MZ. N LT. 02 - CHINCHA"/>
    <x v="1"/>
    <s v="ZONA: CONDORILLO PARTE ALTA"/>
    <s v="936 932 786"/>
    <n v="21577420"/>
    <s v="F1"/>
  </r>
  <r>
    <n v="22"/>
    <s v="YATACO GARCIA MOISES"/>
    <s v="CL. SAN LUIS Nª 139 - CERCADO DE CHINCHA ALTA"/>
    <x v="1"/>
    <s v="ZONA: CRUZ BLANCA VIRGEN CARMEN"/>
    <n v="944420613"/>
    <n v="21781164"/>
    <s v="F1"/>
  </r>
  <r>
    <n v="23"/>
    <s v="RIQUELME APOLAYA VDA DE PEREZ GREGORIA ELISA"/>
    <s v="Av. Melchorita Nº 604 - Grocio Prado"/>
    <x v="3"/>
    <s v="ZONA: GROCIO - MEJILLONEROS"/>
    <n v="956698366"/>
    <n v="21782120"/>
    <s v="F1"/>
  </r>
  <r>
    <n v="24"/>
    <s v="HERRERA TALLA EDNA CLEMENCIA"/>
    <s v="AV. UNION SANTA ROSA N110-34 - CRUZ BLANCA"/>
    <x v="1"/>
    <s v="ZONA: CRUZ BLANCA CAMPO"/>
    <n v="936301541"/>
    <n v="21782325"/>
    <s v="F1"/>
  </r>
  <r>
    <n v="25"/>
    <s v="REYES APONTE LUIS MANUEL"/>
    <s v="CONDORILLO ALTO PRIMERA ENTRADA"/>
    <x v="1"/>
    <s v="ZONA: CONDORILLO PARTE BAJA"/>
    <n v="936457904"/>
    <n v="21783726"/>
    <s v="F1"/>
  </r>
  <r>
    <n v="26"/>
    <s v="CARBAJAL TASAYCO ALBERTO"/>
    <s v="ENTRADA CONDORILLO PSJ GONZALES PRADA 205"/>
    <x v="1"/>
    <s v="ZONA: CRUZ BLANCA PARTE ALTA oruro"/>
    <s v="930 647 571"/>
    <n v="21784064"/>
    <s v="F1"/>
  </r>
  <r>
    <n v="27"/>
    <s v="MAGALLANES ROSSI PAULO FELIX"/>
    <s v="AV. FATIMA S/N - SUNAMPE"/>
    <x v="2"/>
    <s v="ZONA: SUNAMPE – COLEGIO"/>
    <n v="942811373"/>
    <n v="21785115"/>
    <s v="F1"/>
  </r>
  <r>
    <n v="28"/>
    <s v="DE LA CRUZ MENDOZA ROSA ELVIRA"/>
    <s v="PSJ. 02 DE MAYO Nª 325 - CRUZ BLANCA - CHINCHA ALTA"/>
    <x v="1"/>
    <s v="ZONA: CRUZ BLANCA PARTE ALTA oruro"/>
    <s v="968 416 588"/>
    <n v="21785244"/>
    <s v="F1"/>
  </r>
  <r>
    <n v="29"/>
    <s v="ATUNCAR TASAYCO GILDA ESTHER"/>
    <s v="SAN PEDRO DE PILPA N514 - SUNAMPE"/>
    <x v="2"/>
    <s v="ZONA: SUNAMPE – SAN PILPA"/>
    <n v="958608401"/>
    <n v="21786233"/>
    <s v="F1"/>
  </r>
  <r>
    <n v="30"/>
    <s v="PACHAS MARTINEZ JUANA"/>
    <s v="Virgen del carmen Mz. I lt. 1"/>
    <x v="1"/>
    <s v="ZONA: CRUZ BLANCA VIRGEN CARMEN"/>
    <s v="991 488 690"/>
    <n v="21788723"/>
    <s v="F1"/>
  </r>
  <r>
    <n v="31"/>
    <s v="GARCIA DE GARCIA GLADYS"/>
    <s v="CRUZ BLANCA VIRGEN DEL CARMEN AV TOMA DE CALA"/>
    <x v="1"/>
    <s v="ZONA: CRUZ BLANCA PARTE BAJA"/>
    <n v="936707747"/>
    <n v="21790332"/>
    <s v="F1"/>
  </r>
  <r>
    <n v="32"/>
    <s v="ELENA EVA LORENZA DURAN BLANCO"/>
    <s v="CL COLON NRO. PUERTA 279 02 - CERCADO DE CHINCHA ALTA - CHINCHA ALTA"/>
    <x v="1"/>
    <s v="ZONA: CHINCHA - AMERICA"/>
    <n v="984399198"/>
    <n v="21792478"/>
    <s v="F1"/>
  </r>
  <r>
    <n v="33"/>
    <s v="MAGALLANES ORTIZ VICTOR LUIS"/>
    <s v="CL. EL CARMEN Nª 196, CRUZ BLANCA - CHINCHA ALTA"/>
    <x v="1"/>
    <s v="ZONA: CRUZ BLANCA PARTE BAJA"/>
    <n v="912074015"/>
    <n v="21794090"/>
    <s v="F1"/>
  </r>
  <r>
    <n v="34"/>
    <s v="PEREZ HERNANDEZ JORGE ISIDORO"/>
    <s v="AV. AMERICA N° 533 - INT. 03 - PROGRESO - CHINCHA ALTA"/>
    <x v="1"/>
    <s v="ZONA: CHINCHA - PROGRESO"/>
    <n v="924422788"/>
    <n v="21794408"/>
    <s v="F1"/>
  </r>
  <r>
    <n v="35"/>
    <s v="MELO GUERRA ANSELMO"/>
    <s v="PSJ. SAN MARTIN Nª 474, C.P. MINA DE ORO - SUNAMPE"/>
    <x v="2"/>
    <s v="ZONA: SUNAMPE - MINA DE ORO"/>
    <n v="904830949"/>
    <n v="21794453"/>
    <s v="F1"/>
  </r>
  <r>
    <n v="36"/>
    <s v="DIAZ MAGALLANES SANTOS MANUEL"/>
    <s v="CRUZ BLANCA VIRGEN DEL CARMEN"/>
    <x v="1"/>
    <s v="ZONA: CRUZ BLANCA PARTE BAJA"/>
    <n v="925064547"/>
    <n v="21797192"/>
    <s v="F1"/>
  </r>
  <r>
    <n v="37"/>
    <s v="CESPEDES CANELO GLADYS DORA"/>
    <s v="PSJ. SAN ANTONIO MZ J LT12, ALT. VILLA JULIA - SUNAMPE"/>
    <x v="2"/>
    <s v="ZONA: SUNAMPE – VILLA JULIA"/>
    <n v="932233737"/>
    <n v="21799902"/>
    <s v="F1"/>
  </r>
  <r>
    <n v="38"/>
    <s v="VILLAVICENCIO GONZALES ORLANDO LUIS"/>
    <s v="Urb Las Palmeras Mz. D, lote 14, Huaca Grande, Sunampe."/>
    <x v="2"/>
    <s v="ZONA: SUNAMPE – HUACA GRANDE"/>
    <n v="955939014"/>
    <n v="21807490"/>
    <s v="F1"/>
  </r>
  <r>
    <n v="39"/>
    <s v="SALVADOR DE VILLAVICENCIO ANA GLADYS"/>
    <s v="CONDOMINIO LAS PALMERAS B-29 - C.P. HUACA GRANDE - SUNAMPE"/>
    <x v="2"/>
    <s v="ZONA: SUNAMPE – HUACA GRANDE"/>
    <n v="955939014"/>
    <n v="21807491"/>
    <s v="F1"/>
  </r>
  <r>
    <n v="40"/>
    <s v="IBARRA SALAZAR CIRO WILLMAN"/>
    <s v="URB. JULIO ARBOLEDA MZ. B - LT. 04 - CHINCHA ALTA"/>
    <x v="2"/>
    <s v="ZONA: SUNAMPE - MINA DE ORO"/>
    <n v="956562524"/>
    <n v="21807868"/>
    <s v="F1"/>
  </r>
  <r>
    <n v="41"/>
    <s v="ATUNCAR DE LA CRUZ LUZ MARLENE"/>
    <s v="Sunampe, Av. Huascar (Casa de pandora 02)"/>
    <x v="2"/>
    <s v="ZONA: SUNAMPE – SAN IGNACIO"/>
    <n v="965696392"/>
    <n v="21808481"/>
    <s v="F1"/>
  </r>
  <r>
    <n v="42"/>
    <s v="AGUILAR HERNANDEZ DE MUCHAYPIÑA MARIA ELIZABETH"/>
    <s v="URB. LEON DE VIVERO MZ. 04 LT. 07 - PUEBLO NUEVO"/>
    <x v="0"/>
    <s v="ZONA: PUEBLO - SALVADOR"/>
    <s v="956 791 396"/>
    <n v="21810864"/>
    <s v="F1"/>
  </r>
  <r>
    <n v="43"/>
    <s v="CASTILLA VILCHEZ RICARDO ANTONIO"/>
    <s v="PSJE CASTILLA Nª 268 - C. P. SAN PEDRO DE PILPA - SUNAMPE"/>
    <x v="2"/>
    <s v="ZONA: SUNAMPE – SAN PILPA"/>
    <n v="933212718"/>
    <n v="21811430"/>
    <s v="F1"/>
  </r>
  <r>
    <n v="44"/>
    <s v="DE LA CRUZ OLIVARES ROSA ALBINA"/>
    <s v="Av. Alva Maurtua Nº 300 - Cruz Blanca"/>
    <x v="1"/>
    <s v="ZONA: CRUZ BLANCA PARTE ALTA oruro"/>
    <n v="984786637"/>
    <n v="21811546"/>
    <s v="F1"/>
  </r>
  <r>
    <n v="45"/>
    <s v="SANCHEZ NAPA ROCIO PATRICIA"/>
    <s v="AV. ALVA MAURTUA MZ. O LT. 05, PSJ SOTELO - CRUZ BLANCA"/>
    <x v="1"/>
    <s v="ZONA: CRUZ BLANCA PARTE ALTA oruro"/>
    <n v="967775894"/>
    <n v="21811821"/>
    <s v="F1"/>
  </r>
  <r>
    <n v="46"/>
    <s v="ROSA MARIA CAVERO FERNANDEZ"/>
    <s v="URB. LEON DE VIVERO MZ. 7 LT. 13 - PUEBLO NUEVO"/>
    <x v="0"/>
    <s v="ZONA: PUEBLO - SALVADOR"/>
    <n v="943285509"/>
    <n v="21812467"/>
    <s v="F1"/>
  </r>
  <r>
    <n v="48"/>
    <s v="DE LA CRUZ LUYO ALCIDES"/>
    <s v="AA.HH. EL SALVADOR MZ. F LT. 01 - PUEBLO NUEVO"/>
    <x v="0"/>
    <s v="ZONA: PUEBLO - SALVADOR"/>
    <n v="936436485"/>
    <n v="21813235"/>
    <s v="F1"/>
  </r>
  <r>
    <n v="49"/>
    <s v="MILAGRITOS DE JESUS GILARDINO LUY DE REYNAGA"/>
    <s v="AV. SAN PEDRO DE PILPA NRO. 268 - SUNAMPE"/>
    <x v="2"/>
    <s v="ZONA: SUNAMPE – SAN PILPA"/>
    <n v="956835450"/>
    <n v="21814474"/>
    <s v="F1"/>
  </r>
  <r>
    <n v="50"/>
    <s v="MARIA EMILIA DE LA CRUZ HUASASQUICHE"/>
    <s v="AVDA LUIS ALVA MAURTUA Nro. Tapa Medidor 01006900 Cercado Chincha Alta CHINCHA ALTA"/>
    <x v="1"/>
    <s v="ZONA: CRUZ BLANCA PARTE BAJA"/>
    <n v="932437255"/>
    <n v="21814478"/>
    <s v="F1"/>
  </r>
  <r>
    <n v="51"/>
    <s v="ROJAS MARCELO AQUILES"/>
    <s v="CL. JORGE CHAVEZ MZ C. - LT. 24 - BARRIO CHACARITA - SUNAMPE"/>
    <x v="2"/>
    <s v="ZONA: SUNAMPE – CHACARITA"/>
    <n v="998322738"/>
    <n v="21815052"/>
    <s v="F1"/>
  </r>
  <r>
    <n v="52"/>
    <s v="HERRERA TALLA JOSE FREDY"/>
    <s v="AV. UNION SANTA ROSA N109, INT 33 - CRUZ BLANCA"/>
    <x v="1"/>
    <s v="ZONA: CRUZ BLANCA CAMPO"/>
    <n v="923014014"/>
    <n v="21815108"/>
    <s v="F1"/>
  </r>
  <r>
    <n v="53"/>
    <s v="COLLACHAGUA TAYPE PATRICIA ESTHER"/>
    <s v="CL. ROSARIO N° 500 INT. 07 - CERCADO DE CHINCHA - CHINCHA ALTA"/>
    <x v="0"/>
    <s v="ZONA: PUEBLO - TECHO PROPIO"/>
    <n v="933513255"/>
    <n v="21815544"/>
    <s v="F1"/>
  </r>
  <r>
    <n v="54"/>
    <s v="YATACO GARCIA MARIA SANTOS"/>
    <s v="PSJ. DOS DE MAYO S/N - CRUZ BLANCA - CHINCHA"/>
    <x v="1"/>
    <s v="ZONA: CRUZ BLANCA PARTE ALTA oruro"/>
    <n v="965696054"/>
    <n v="21815949"/>
    <s v="F1"/>
  </r>
  <r>
    <n v="55"/>
    <s v="PEVE GUTIERREZ JHON ROBINSON"/>
    <s v="Avenida principal mz A Lt 11 , centro Poblado Condorillo Alto Ref: Por la bodega Charito"/>
    <x v="1"/>
    <s v="ZONA: CONDORILLO PARTE ALTA"/>
    <s v="971 906 846"/>
    <n v="21817739"/>
    <s v="F1"/>
  </r>
  <r>
    <n v="56"/>
    <s v="CASTILLON CHUQUISPUMA LIZANDRO HERCULES"/>
    <s v="UPIS EL TREBOL MZ. G - LOTE 22 - PUEBLO NUEVO"/>
    <x v="0"/>
    <s v="ZONA: PUEBLO - LAS AMERICAS"/>
    <n v="978934930"/>
    <n v="21818918"/>
    <s v="F1"/>
  </r>
  <r>
    <n v="57"/>
    <s v="FERNANDEZ MEZA HEBER ANDER"/>
    <s v="AV. PARAISO NRO. PUERTA 496 - C.P. LOMO LARGO - SUNAMPE"/>
    <x v="2"/>
    <s v="ZONA: SUNAMPE – PARAISO"/>
    <n v="902779650"/>
    <n v="21819087"/>
    <s v="F1"/>
  </r>
  <r>
    <n v="58"/>
    <s v="SARAVIA DE YATACO MARITSA YSABEL"/>
    <s v="San Pedro de Pilpa - PSJE SAN BLAS Nro.Lote 09 Sunampe"/>
    <x v="2"/>
    <s v="ZONA: SUNAMPE – SAN PILPA"/>
    <n v="922706526"/>
    <n v="21819456"/>
    <s v="F1"/>
  </r>
  <r>
    <n v="59"/>
    <s v="ANCHANTE BOADA IVAN MOISES"/>
    <s v="Prolongación sant domingo #170 chincha baja"/>
    <x v="4"/>
    <s v="Zona: Tambo de Mora 1"/>
    <n v="923288466"/>
    <n v="21824486"/>
    <s v="F1"/>
  </r>
  <r>
    <n v="60"/>
    <s v="SANABRIA CONISLLA ERLINDA SONIA"/>
    <s v="Upis  keyko Sofia Mz ñ Lt  20 -Salvador"/>
    <x v="0"/>
    <s v="ZONA: PUEBLO - SALVADOR"/>
    <s v="972 027 085"/>
    <n v="21829438"/>
    <s v="F1"/>
  </r>
  <r>
    <n v="61"/>
    <s v="CASTILLA HUAROTE FELIX"/>
    <s v="Av. Melchorita 607 - Grocio Prado"/>
    <x v="3"/>
    <s v="ZONA: GROCIO - EL PORVENIR"/>
    <n v="914853211"/>
    <n v="21830221"/>
    <s v="F1"/>
  </r>
  <r>
    <n v="66"/>
    <s v="MORON RONCEROS ADALBERTO GUILLERMO"/>
    <s v="AV. EL PORVENIR LOTE 30(CASA DE 2 PISOS, COSTADO DE UNA TIENDA)"/>
    <x v="3"/>
    <s v="ZONA: GROCIO - EL PORVENIR"/>
    <n v="933142570"/>
    <n v="21838938"/>
    <s v="F1"/>
  </r>
  <r>
    <n v="67"/>
    <s v="CANCHARI QUISPE JHONY ANGEL"/>
    <s v="PSJE SAN FRANCISCO MZ. X LT. 8 - C.P. SAN IGNACIO - SUNAMPE"/>
    <x v="2"/>
    <s v="ZONA: SUNAMPE – SAN IGNACIO"/>
    <s v="963 847 560"/>
    <n v="21845027"/>
    <s v="F1"/>
  </r>
  <r>
    <n v="68"/>
    <s v="TASAYCO GARCIA DANIEL"/>
    <s v="Av San Francisco 117 sunampe"/>
    <x v="2"/>
    <s v="ZONA: SUNAMPE – SAN IGNACIO"/>
    <n v="922771211"/>
    <n v="21845817"/>
    <s v="F1"/>
  </r>
  <r>
    <n v="69"/>
    <s v="PACHAS SANCHEZ DORIS MARLENE"/>
    <s v="Av san jose 29 - huaca grande"/>
    <x v="2"/>
    <s v="ZONA: SUNAMPE – HUACA GRANDE"/>
    <n v="993448961"/>
    <n v="21845970"/>
    <s v="F1"/>
  </r>
  <r>
    <n v="72"/>
    <s v="CRISOSTOMO CUELLAR ARNALDO"/>
    <s v="PSJ. SANTA ROSA S/N - CRUZ BLANCA"/>
    <x v="1"/>
    <s v="ZONA: CRUZ BLANCA PARTE ALTA oruro"/>
    <n v="955017366"/>
    <n v="21846116"/>
    <s v="F1"/>
  </r>
  <r>
    <n v="73"/>
    <s v="PACHAS SANCHEZ LUIS ARMANDO"/>
    <s v="AV. EMANCIPACIÓN, PSJE. GUADALUPE Nª 12 - C.P. HUACA GRANDE - SUNAMPE"/>
    <x v="2"/>
    <s v="ZONA: SUNAMPE – COLEGIO"/>
    <n v="947146086"/>
    <n v="21846189"/>
    <s v="F1"/>
  </r>
  <r>
    <n v="74"/>
    <s v="ROSAS ROJAS JAVIER ELMER"/>
    <s v="CALLE NAZARENO N° 33 - SUNAMPE"/>
    <x v="2"/>
    <s v="ZONA: SUNAMPE – HUACA GRANDE"/>
    <n v="956946577"/>
    <n v="21846225"/>
    <s v="F1"/>
  </r>
  <r>
    <n v="75"/>
    <s v="NAPA CRISOSTOMO RUBEN BAUTISTA"/>
    <s v="Av. San pedro de pilpa 133 - Lomo largo - Sunampe"/>
    <x v="2"/>
    <s v="ZONA: SUNAMPE – SAN PILPA"/>
    <n v="902874390"/>
    <n v="21846318"/>
    <s v="F1"/>
  </r>
  <r>
    <n v="77"/>
    <s v="CRISOSTOMO CUELLA LUIS ALFONSO"/>
    <s v="A.v Los Proceres s/n  -SUNAMPE"/>
    <x v="2"/>
    <s v="ZONA: SUNAMPE – COLEGIO"/>
    <n v="949645226"/>
    <n v="21846794"/>
    <s v="F1"/>
  </r>
  <r>
    <n v="78"/>
    <s v="ROJAS BACIGALUPO CESAR ANTONIO"/>
    <s v="CL. 09 DE DICIEMBRE N° 151, CERCADO DE SUNAMPE"/>
    <x v="2"/>
    <s v="ZONA: SUNAMPE – SIMON"/>
    <s v="956 064 829"/>
    <n v="21847095"/>
    <s v="F1"/>
  </r>
  <r>
    <n v="79"/>
    <s v="ROJAS BACIGALUPO CARMELA LEONOR"/>
    <s v="Av.Nazarenas N 62 Huaca Grande"/>
    <x v="2"/>
    <s v="ZONA: SUNAMPE – HUACA GRANDE"/>
    <n v="950902644"/>
    <n v="21847118"/>
    <s v="F1"/>
  </r>
  <r>
    <n v="80"/>
    <s v="CRISOSTOMO RIVADENEYRA GLADYS"/>
    <s v="AV. SAN ANTONIO, PSJ. 58 PUERTA N°165 - SUNAMPE"/>
    <x v="2"/>
    <s v="ZONA: SUNAMPE – SANTA ROSA"/>
    <s v="912 344 640"/>
    <n v="21847790"/>
    <s v="F1"/>
  </r>
  <r>
    <n v="82"/>
    <s v="ALMEYDA DE NAPA MARGARITA VICTORIA"/>
    <s v="Av. paraíso - Lomo Largo - Sunampe ref: A 1 cuadra del hostal “El otro Sitio”"/>
    <x v="2"/>
    <s v="ZONA: SUNAMPE – PARAISO"/>
    <n v="965189450"/>
    <n v="21848813"/>
    <s v="F1"/>
  </r>
  <r>
    <n v="83"/>
    <s v="ISABEL LEONOR MELO VDA DE ALMEYDA"/>
    <s v="AV. PARAISO N° 49 - C.P. LOMO LARGO - SUNAMPE"/>
    <x v="2"/>
    <s v="ZONA: SUNAMPE – SAN PILPA"/>
    <n v="967224348"/>
    <n v="21849130"/>
    <s v="F1"/>
  </r>
  <r>
    <n v="84"/>
    <s v="ROJAS PACHAS JACINTO"/>
    <s v="PASO DE GOMEZ Nº140 - SUNAMPE"/>
    <x v="2"/>
    <s v="ZONA: SUNAMPE – SANTA ROSA"/>
    <n v="997007429"/>
    <n v="21849411"/>
    <s v="F1"/>
  </r>
  <r>
    <n v="85"/>
    <s v="TORRES AVALOS ALEJANDRO"/>
    <s v="AV. HUASCAR 130 - SAN IGNACIO- SUNAMPE  REF PLAZUELA DE SAN IGNACIO 1 CDA ADELANTE"/>
    <x v="2"/>
    <s v="ZONA: SUNAMPE – SAN IGNACIO"/>
    <n v="998232755"/>
    <n v="21849573"/>
    <s v="F1"/>
  </r>
  <r>
    <n v="86"/>
    <s v="ALMEYDA SANCHEZ PABLO LUIS "/>
    <s v="AV. PARAISO N° 21 - LOMO LARGO - SUNAMPE"/>
    <x v="2"/>
    <s v="ZONA: SUNAMPE – PARAISO"/>
    <n v="952354023"/>
    <n v="21850170"/>
    <s v="F1"/>
  </r>
  <r>
    <n v="87"/>
    <s v="DE LA CRUZ QUISPE VICTORIA YSABEL"/>
    <s v="AV. FATIMA N° 373 - SUNAMPE"/>
    <x v="2"/>
    <s v="ZONA: SUNAMPE – HUACA GRANDE"/>
    <n v="997067532"/>
    <n v="21850270"/>
    <s v="F1"/>
  </r>
  <r>
    <n v="88"/>
    <s v="DE LA CRUZ PACHAS PEDRO ENRIQUE"/>
    <s v="PSJE. PASO DE GOMEZ Nª 111-10C - C.P. HUACA GRANDE - SUNAMPE"/>
    <x v="2"/>
    <s v="ZONA: SUNAMPE – SANTA ROSA"/>
    <n v="906071409"/>
    <n v="21850623"/>
    <s v="F1"/>
  </r>
  <r>
    <n v="89"/>
    <s v="ALMEYDA SOLARI BERTHA GLADYS"/>
    <s v="CALLE TUPAC AMARU Nª 395 - SUNAMPE (Ref. Espalda de la Munic)"/>
    <x v="2"/>
    <s v="ZONA: SUNAMPE – SIMON"/>
    <s v="948 643 610"/>
    <n v="21851052"/>
    <s v="F1"/>
  </r>
  <r>
    <n v="90"/>
    <s v="SAENZ MAGALLANES JULIO CESAR"/>
    <s v="CALLE LIMA 349- Sunampe (A DOS PUERTAS DE LA POLLERÍA AJÍ SECO)"/>
    <x v="2"/>
    <s v="ZONA: SUNAMPE – CALLE LIMA"/>
    <n v="944121137"/>
    <n v="21851670"/>
    <s v="F1"/>
  </r>
  <r>
    <n v="91"/>
    <s v="CASACHAGUA LARA LILIANA ALICIA"/>
    <s v="AV. JOSE SANTOS CHOCANO N155 - LOMO LARGO - SUNAMPE"/>
    <x v="2"/>
    <s v="ZONA: SUNAMPE – SAN PILPA"/>
    <n v="928270969"/>
    <n v="21851781"/>
    <s v="F1"/>
  </r>
  <r>
    <n v="92"/>
    <s v="ALFONSO TORRES GREGORIO ALFREDO"/>
    <s v="AV. ALFONSO UGARTE N° 544 - SAN PEDRO DE PILPA - SUNAMPE"/>
    <x v="2"/>
    <s v="ZONA: SUNAMPE – SAN PILPA"/>
    <n v="954052720"/>
    <n v="21852100"/>
    <s v="F1"/>
  </r>
  <r>
    <n v="93"/>
    <s v="GONZALES PEÑA ANA YSABEL"/>
    <s v="AV.SANTA ROSA 146 SUNAMPE"/>
    <x v="2"/>
    <s v="ZONA: SUNAMPE – SANTA ROSA"/>
    <n v="933227205"/>
    <n v="21852326"/>
    <s v="F1"/>
  </r>
  <r>
    <n v="94"/>
    <s v="MENESES CANELO LUIS NICOLAS"/>
    <s v="calle muelle 227 tambo de mora"/>
    <x v="4"/>
    <s v="Zona: Tambo de Mora 2"/>
    <n v="994281157"/>
    <n v="21854034"/>
    <s v="F1"/>
  </r>
  <r>
    <n v="95"/>
    <s v="CHALA MARCHAN FANNY CAROL"/>
    <s v="Psj jazmin #105 - Tambo de Mora Ref: Frente a la Policia nacion de tambo de mora"/>
    <x v="4"/>
    <s v="No especificado"/>
    <n v="990519702"/>
    <n v="21854135"/>
    <s v="F1"/>
  </r>
  <r>
    <n v="97"/>
    <s v="DE LA CRUZ MANRIQUE NOLBERTO FLORECINDO"/>
    <s v="calle San Vicente Ferrer 520 Sunampe"/>
    <x v="2"/>
    <s v="ZONA: SUNAMPE – SAN PILPA"/>
    <n v="938429070"/>
    <n v="21854378"/>
    <s v="F1"/>
  </r>
  <r>
    <n v="98"/>
    <s v="ESPINOZA MUÑOZ LILIANA LASTENIA"/>
    <s v="Av. San marcelo 158 (Villa Julia) - Sunampe"/>
    <x v="2"/>
    <s v="ZONA: SUNAMPE – VILLA JULIA"/>
    <n v="922393873"/>
    <n v="21854605"/>
    <s v="F1"/>
  </r>
  <r>
    <n v="99"/>
    <s v="LOPEZ MATEO SONIA ROSA"/>
    <s v="Calle Grau 168 lomo largo"/>
    <x v="2"/>
    <s v="ZONA: SUNAMPE – PARAISO"/>
    <n v="953619455"/>
    <n v="21854655"/>
    <s v="F1"/>
  </r>
  <r>
    <n v="100"/>
    <s v="ALMEYDA GARCIA ABEL ARTURO"/>
    <s v="Calle Grau 108 - Lomo Largo - Sunampe"/>
    <x v="2"/>
    <s v="ZONA: SUNAMPE – PARAISO"/>
    <n v="914013935"/>
    <n v="21854743"/>
    <s v="F1"/>
  </r>
  <r>
    <n v="101"/>
    <s v="CESAR AGUSTO ROJAS RAMOS"/>
    <s v="AV. FATIMA MZ. I - LT. 01 - SUNAMPE"/>
    <x v="2"/>
    <s v="ZONA: SUNAMPE – HUACA GRANDE"/>
    <n v="968682700"/>
    <n v="21854794"/>
    <s v="F1"/>
  </r>
  <r>
    <n v="102"/>
    <s v="LAZARO CANCHARI NESTOR BALVIS"/>
    <s v="C.P. CONDORILLO ALTO MZ L LT 10 - CHINCHA"/>
    <x v="1"/>
    <s v="ZONA: CONDORILLO PARTE ALTA"/>
    <n v="910925866"/>
    <n v="21856980"/>
    <s v="F1"/>
  </r>
  <r>
    <n v="103"/>
    <s v="HUAMAN AGUIRRE TEODORA REVECA"/>
    <s v="AA.HH. LAS ROCAS MZ. F - LT. 06 - PUEBLO NUEVO"/>
    <x v="0"/>
    <s v="ZONA: PUEBLO - SATELITE - ROCAS"/>
    <n v="914066332"/>
    <n v="21857342"/>
    <s v="F1"/>
  </r>
  <r>
    <n v="105"/>
    <s v="VELARDE ORTIZ SANTA ANGELICA"/>
    <s v="AA.HH. EL MILAGRO DE SAN JUDAS TADEO MZ. D - LT. 8 - SUNAMPE"/>
    <x v="2"/>
    <s v="ZONA: SUNAMPE - MINA DE ORO"/>
    <s v="922 053 311"/>
    <n v="21857534"/>
    <s v="F1"/>
  </r>
  <r>
    <n v="106"/>
    <s v="CASTRO AVALOS LUIS FERNANDO"/>
    <s v="AA.HH. EL SALVADOR MZ. N LT. 06 - PUEBLO NUEVO"/>
    <x v="0"/>
    <s v="ZONA: PUEBLO - SALVADOR"/>
    <n v="910942498"/>
    <n v="21859181"/>
    <s v="F1"/>
  </r>
  <r>
    <n v="107"/>
    <s v="TORRES HUAMAN MARIA ISABEL"/>
    <s v="psj. primavera 116 cruz blanca"/>
    <x v="1"/>
    <s v="ZONA: CRUZ BLANCA CAMPO"/>
    <n v="904612007"/>
    <n v="21859806"/>
    <s v="F1"/>
  </r>
  <r>
    <n v="108"/>
    <s v="CHUQUISPUMA PEVE JUANA"/>
    <s v="C.P. Condorillo alto Mz. O lt. 13"/>
    <x v="1"/>
    <s v="ZONA: CONDORILLO PARTE ALTA"/>
    <n v="961760053"/>
    <n v="21859950"/>
    <s v="F1"/>
  </r>
  <r>
    <n v="110"/>
    <s v="HERRERA CASAS DE CHINCHAY MARIA ANTONIETA"/>
    <s v="Calle el Carmen Nº 163 - Cruz Blanca"/>
    <x v="1"/>
    <s v="ZONA: CRUZ BLANCA PARTE BAJA"/>
    <n v="992870887"/>
    <n v="21860894"/>
    <s v="F1"/>
  </r>
  <r>
    <n v="111"/>
    <s v="GARCIA LY FRIEDA VERONICA"/>
    <s v="Carretera Sunampe 351 pasando San Ignacio"/>
    <x v="2"/>
    <s v="ZONA: SUNAMPE – SAN IGNACIO"/>
    <n v="956319825"/>
    <n v="21861508"/>
    <s v="F1"/>
  </r>
  <r>
    <n v="112"/>
    <s v="BALLENAS DELGADO ANA ETELVINA"/>
    <s v="CONDOMINIO LOS SAUCES MZ. D LT. 02 - SUNAMPE"/>
    <x v="2"/>
    <s v="ZONA: SUNAMPE – SIMON"/>
    <n v="917289473"/>
    <n v="21861580"/>
    <s v="F1"/>
  </r>
  <r>
    <n v="113"/>
    <s v="HERRERA VILLA JORGE LUIS"/>
    <s v="PSJ. PRIMAVERA 100 LT 21 - CRUZ BLANCA"/>
    <x v="1"/>
    <s v="ZONA: CRUZ BLANCA CAMPO"/>
    <n v="971343321"/>
    <n v="21862344"/>
    <s v="F1"/>
  </r>
  <r>
    <n v="114"/>
    <s v="YATACO GARCIA DE GARCIA NELLY"/>
    <s v="PSJ. SAN JUAN DE DIOS MZ.-10 LT. 04 - CRUZ BLANCA - CHINCHA"/>
    <x v="1"/>
    <s v="ZONA: CRUZ BLANCA PARTE ALTA oruro"/>
    <n v="912707222"/>
    <n v="21862542"/>
    <s v="F1"/>
  </r>
  <r>
    <n v="115"/>
    <s v="GARCIA CARBAJAL MILAGRO MELCHORA"/>
    <s v="barrio el tigre 280 av los proceres chincha"/>
    <x v="1"/>
    <s v="ZONA: CRUZ BLANCA PARTE BAJA"/>
    <n v="966242063"/>
    <n v="21862703"/>
    <s v="F1"/>
  </r>
  <r>
    <n v="116"/>
    <s v="CASAS ANTON MARIA JESUS"/>
    <s v="AA.HH. VIRGEN DEL CARMEN MZ B LT 09 - CRUZ BLANCA"/>
    <x v="1"/>
    <s v="ZONA: CRUZ BLANCA VIRGEN CARMEN"/>
    <s v="934 499 161"/>
    <n v="21863308"/>
    <s v="F1"/>
  </r>
  <r>
    <n v="117"/>
    <s v="GONZALES PEÑA MARIA ESTHER"/>
    <s v="CL. SAN IGNACIO MZ.  I1 LT. 04 - SUNAMPE"/>
    <x v="2"/>
    <s v="ZONA: SUNAMPE – SANTA ROSA"/>
    <n v="947265609"/>
    <n v="21863667"/>
    <s v="F1"/>
  </r>
  <r>
    <n v="118"/>
    <s v="LEVANO TORRES VICTOR MANUEL"/>
    <s v="CL. SANTA ANGELA Nª 805 - CRUZ BLANCA - CHINCHA ALTA"/>
    <x v="1"/>
    <s v="ZONA: CRUZ BLANCA VIRGEN CARMEN"/>
    <n v="922261999"/>
    <n v="21863844"/>
    <s v="F1"/>
  </r>
  <r>
    <n v="120"/>
    <s v="YATACO HERRERA LUIS EDUARDO"/>
    <s v="Psj. Primavera - Cruz blanca"/>
    <x v="1"/>
    <s v="ZONA: CRUZ BLANCA CAMPO"/>
    <n v="920314089"/>
    <n v="21864746"/>
    <s v="F1"/>
  </r>
  <r>
    <n v="121"/>
    <s v="ARIAS ARENAS MARTHA MARIA"/>
    <s v="AV. PROCERES N° 101 - SUNAMPE"/>
    <x v="2"/>
    <s v="ZONA: SUNAMPE – COLEGIO"/>
    <n v="945842114"/>
    <n v="21866009"/>
    <s v="F1"/>
  </r>
  <r>
    <n v="122"/>
    <s v="CHAVEZ ALMEYDA CAROLINA"/>
    <s v="PSJ. EL CARMEN MZ D LT 11 ( AL COST. DEL COLEGIO)"/>
    <x v="2"/>
    <s v="ZONA: SUNAMPE – COLEGIO"/>
    <n v="953309019"/>
    <n v="21866012"/>
    <s v="F1"/>
  </r>
  <r>
    <n v="123"/>
    <s v="BELLEZA CARPIO VDA DE AROSTEGUI MARIBEL VIOLETA"/>
    <s v="AV.PARAISO CASA DE 2 PISOS AZUL - Sunampe"/>
    <x v="2"/>
    <s v="ZONA: SUNAMPE – PARAISO"/>
    <n v="965808498"/>
    <n v="21866027"/>
    <s v="F1"/>
  </r>
  <r>
    <n v="124"/>
    <s v="MENDIGUETE LOYOLA MARIA JULIA"/>
    <s v="PSJE SAN VICENTE M-P LT-16 - SAN P. PILPA - SUNAMPE"/>
    <x v="2"/>
    <s v="ZONA: SUNAMPE – SAN PILPA"/>
    <s v="962 402 706"/>
    <n v="21866147"/>
    <s v="F1"/>
  </r>
  <r>
    <n v="125"/>
    <s v="GARCIA MARTINEZ CECILIA PATRICIA"/>
    <s v="URB. LOS VIÑEDOS MZ. U2 - LT. 12 - CHINCHA ALTA"/>
    <x v="0"/>
    <s v="ZONA: PUEBLO - TECHO PROPIO"/>
    <n v="947929771"/>
    <n v="21866254"/>
    <s v="F1"/>
  </r>
  <r>
    <n v="126"/>
    <s v="CHUQUISPUMA PEVE FLOR MARLENE"/>
    <s v="Condorillo alto mz. L lt. 5"/>
    <x v="1"/>
    <s v="ZONA: CONDORILLO PARTE ALTA"/>
    <n v="902073805"/>
    <n v="21866433"/>
    <s v="F1"/>
  </r>
  <r>
    <n v="127"/>
    <s v="JESSICA MARGARITA FLORES LA ROSA"/>
    <s v="AA. HH. EL SALVADOR MZ. I - PUERTA 11 - PUEBLO NUEVO"/>
    <x v="0"/>
    <s v="ZONA: PUEBLO - SALVADOR"/>
    <n v="951506348"/>
    <n v="21866464"/>
    <s v="F1"/>
  </r>
  <r>
    <n v="128"/>
    <s v="HUAMAN RAMOS CIRO"/>
    <s v="UPIS  SAN LUIS MZ. E LT. 05 - CHINCHA"/>
    <x v="1"/>
    <s v="No especificado"/>
    <s v="934 695 614"/>
    <n v="21866885"/>
    <s v="F1"/>
  </r>
  <r>
    <n v="129"/>
    <s v="AVALOS MENDOZA MARIA DEL ROSARIO"/>
    <s v="CALLE JORGE CHAVEZ MZ C LT 17, CHACARITA - SUNAMPE"/>
    <x v="2"/>
    <s v="ZONA: SUNAMPE – CHACARITA"/>
    <s v="945 695 618"/>
    <n v="21867380"/>
    <s v="F1"/>
  </r>
  <r>
    <n v="130"/>
    <s v="YATACO MAGALLANES JORGE"/>
    <s v="AA.HH. VIRGEN DEL CARMEN MZ. L LT. 26- Cruz Blanca"/>
    <x v="1"/>
    <s v="ZONA: CRUZ BLANCA VIRGEN CARMEN"/>
    <n v="956615324"/>
    <n v="21867558"/>
    <s v="F1"/>
  </r>
  <r>
    <n v="131"/>
    <s v="LEVANO TORRES MARITZA"/>
    <s v="PSJ. LOS CLAVELES Nª 207 - CRUZ BLANCA - CHINCHA"/>
    <x v="1"/>
    <s v="ZONA: CHINCHA - AMERICA"/>
    <n v="955446960"/>
    <n v="21867629"/>
    <s v="F1"/>
  </r>
  <r>
    <n v="133"/>
    <s v="MARCOS YATACO PILAR NELLY"/>
    <s v="CRUZ BLANCA ENTRADA CONDORILLO"/>
    <x v="1"/>
    <s v="ZONA: CRUZ BLANCA PARTE ALTA oruro"/>
    <n v="957727000"/>
    <n v="21868131"/>
    <s v="F1"/>
  </r>
  <r>
    <n v="134"/>
    <s v="CARDENAS PEÑA SARA ESTHER"/>
    <s v="Vilma león Mz L lote 23 Tambo de Mora"/>
    <x v="4"/>
    <s v="Zona: Tambo de Mora 1"/>
    <n v="936619041"/>
    <n v="21868165"/>
    <s v="F1"/>
  </r>
  <r>
    <n v="137"/>
    <s v="SAUL GARCIA CASTILLA"/>
    <s v="ALVA MAURTUA S/N CRUZ BLANCA"/>
    <x v="1"/>
    <s v="ZONA: CRUZ BLANCA VIRGEN CARMEN"/>
    <n v="927899682"/>
    <n v="21868436"/>
    <s v="F1"/>
  </r>
  <r>
    <n v="138"/>
    <s v="GUTIERREZ QUISPE SOFIA EDITH"/>
    <s v="C.P CONDORILLO ALTO MZ. A - LT. 05, CONDORILLO ALTO - CHINCHA ALTA"/>
    <x v="1"/>
    <s v="ZONA: CONDORILLO PARTE ALTA"/>
    <s v="941 026 194"/>
    <n v="21868569"/>
    <s v="F1"/>
  </r>
  <r>
    <n v="139"/>
    <s v="YATACO GONZALES ROSA ESTHER"/>
    <s v="PSJ. JASMIN S/N, MINA DE ORO - SUNAMPE"/>
    <x v="2"/>
    <s v="ZONA: SUNAMPE - MINA DE ORO"/>
    <n v="950008220"/>
    <n v="21868987"/>
    <s v="F1"/>
  </r>
  <r>
    <n v="140"/>
    <s v="VASQUEZ MARTINEZ LUIS ALBERTO"/>
    <s v="CRUZ BLANCA PSJ TUPAC AMARU ENTRADA CONDORILLO"/>
    <x v="1"/>
    <s v="ZONA: CRUZ BLANCA PARTE ALTA oruro"/>
    <n v="947821195"/>
    <n v="21869218"/>
    <s v="F1"/>
  </r>
  <r>
    <n v="141"/>
    <s v="LEGUA GIRAO ANA CECILIA"/>
    <s v="AA. HH. EL MILAGRO SAN JUDAS TADEO - MZ E LOTE 6 - MINA DE ORO - SUNAMPE"/>
    <x v="2"/>
    <s v="ZONA: SUNAMPE - MINA DE ORO"/>
    <s v="983 512 122"/>
    <n v="21869367"/>
    <s v="F1"/>
  </r>
  <r>
    <n v="142"/>
    <s v="SARAVIA BENDEZU LUIS RICHARD"/>
    <s v="Toma de cala Cruz blanca -. Virgen de carmen"/>
    <x v="1"/>
    <s v="ZONA: CRUZ BLANCA PARTE BAJA"/>
    <n v="975537912"/>
    <n v="21869687"/>
    <s v="F1"/>
  </r>
  <r>
    <n v="143"/>
    <s v="BEGAZO PEÑALOZA MILAGROS LUCIA"/>
    <s v="Psj. San Cristobal 360   - Villa Julia"/>
    <x v="2"/>
    <s v="ZONA: SUNAMPE – VILLA JULIA"/>
    <n v="925019236"/>
    <n v="21869870"/>
    <s v="F1"/>
  </r>
  <r>
    <n v="144"/>
    <s v="TASAYCO HUAROTE MARIA ELENA"/>
    <s v="AV. ARENALES, PSJ PALMERAS S/N - CRUZ BLANCA - CHINCHA ALTA"/>
    <x v="1"/>
    <s v="ZONA: CRUZ BLANCA VIRGEN CARMEN"/>
    <n v="933396531"/>
    <n v="21869888"/>
    <s v="F1"/>
  </r>
  <r>
    <n v="145"/>
    <s v="SALVADOR ABURTO ANA MARIA"/>
    <s v="PSJE SAN PEDRO Nª PUERTA 11 SIN BARRIO C.P. HUACA GRANDE- SUNAMPE"/>
    <x v="2"/>
    <s v="ZONA: SUNAMPE – HUACA GRANDE"/>
    <n v="960295992"/>
    <n v="21869970"/>
    <s v="F1"/>
  </r>
  <r>
    <n v="146"/>
    <s v="ROJAS TELLO YULIANA ELENA"/>
    <s v="Calle nueva San Ignacio sunampe"/>
    <x v="2"/>
    <s v="ZONA: SUNAMPE – SAN IGNACIO"/>
    <n v="955928615"/>
    <n v="21870467"/>
    <s v="F1"/>
  </r>
  <r>
    <n v="151"/>
    <s v="CASTILLA RIQUELME ALEXANDER"/>
    <s v="CL BENAVIDES LT 11 - BARRIO EL PORVENIR - GROCIO PRADO"/>
    <x v="3"/>
    <s v="ZONA: GROCIO - BOTELLEROS"/>
    <s v="952 683 121"/>
    <n v="21873544"/>
    <s v="F1"/>
  </r>
  <r>
    <n v="152"/>
    <s v="SOLARI MAGALLANES JULIO CESAR"/>
    <s v="Calle santa Rosa 153 sunampe chincha"/>
    <x v="2"/>
    <s v="ZONA: SUNAMPE – CALLE LIMA"/>
    <n v="956682879"/>
    <n v="21873605"/>
    <s v="F1"/>
  </r>
  <r>
    <n v="153"/>
    <s v="RAMIREZ TASAYCO OSWALDO"/>
    <s v="PSJ. PASO DE GOMEZ N° 104 - SUNAMPE"/>
    <x v="2"/>
    <s v="ZONA: SUNAMPE – HUACA GRANDE"/>
    <n v="954952739"/>
    <n v="21873647"/>
    <s v="F1"/>
  </r>
  <r>
    <n v="154"/>
    <s v="ALMEYDA JACOBO CARLOS ALBERTO"/>
    <s v="Av. la alameda 208 - Sunampe"/>
    <x v="2"/>
    <s v="Zona: Sunampe"/>
    <n v="977905532"/>
    <n v="21873717"/>
    <s v="F1"/>
  </r>
  <r>
    <n v="156"/>
    <s v="MATIAS PEÑALOZA JUAN CARLOS"/>
    <s v="Av. Paraiso Mz. W Lt. 08 - Lomo Largo"/>
    <x v="2"/>
    <s v="ZONA: SUNAMPE – PARAISO"/>
    <n v="956894087"/>
    <n v="21873759"/>
    <s v="F1"/>
  </r>
  <r>
    <n v="157"/>
    <s v="CESAR ALBINO MENDIGUETE"/>
    <s v="BARRIO PARADA DE LOS AMIGOS S/N CASERIO SAN PEDRO DE PILPA"/>
    <x v="2"/>
    <s v="ZONA: SUNAMPE – SAN PILPA"/>
    <n v="924542254"/>
    <n v="21874178"/>
    <s v="F1"/>
  </r>
  <r>
    <n v="158"/>
    <s v="NAPA ROJAS MIRIAM LUZ"/>
    <s v="pasaje la florida 116 chincha alta costado del Olivar por el hospital san jose"/>
    <x v="1"/>
    <s v="Zona: Chincha"/>
    <n v="970705100"/>
    <n v="21874409"/>
    <s v="F1"/>
  </r>
  <r>
    <n v="159"/>
    <s v="GONZALES ATUNCAR CARLOS JOSE"/>
    <s v="PSJ LEVANO - LAS BEGONIAS N° A-02, DOS PUENTES - CHINCHA ALTA"/>
    <x v="1"/>
    <s v="ZONA: CHINCHA - AMERICA"/>
    <s v="937 650 700"/>
    <n v="21875575"/>
    <s v="F1"/>
  </r>
  <r>
    <n v="160"/>
    <s v="ROSIO ROSAURA SIHUIN ECHEVARRIA"/>
    <s v="UPIS SAN AGUSTIN Nro. A-08  CHINCHA ALTA"/>
    <x v="1"/>
    <s v="Zona: Chincha"/>
    <n v="930719756"/>
    <n v="21875978"/>
    <s v="F1"/>
  </r>
  <r>
    <n v="161"/>
    <s v="ALVAREZ CUEVA MARTIN WILLIAM"/>
    <s v="C.P. CONDORILLO ALTO MZ. T - LT. 24 - CHINCHA ALTA"/>
    <x v="1"/>
    <s v="ZONA: CONDORILLO PARTE ALTA"/>
    <s v="964 347 449"/>
    <n v="21876020"/>
    <s v="F1"/>
  </r>
  <r>
    <n v="163"/>
    <s v="WILBER GUERRA DE LA CRUZ"/>
    <s v="CL. LOS PROCERES NRO 01 - BARRIO EL TIGRE - CHINCHA ALTA"/>
    <x v="1"/>
    <s v="ZONA: CRUZ BLANCA PARTE BAJA"/>
    <n v="942136159"/>
    <n v="21876900"/>
    <s v="F1"/>
  </r>
  <r>
    <n v="164"/>
    <s v="SOLANO DE LA CRUZ MIGUEL"/>
    <s v="C.P. CONDORILLO ALTO MZ. Z LT. 24 - CHINCHA ALTA"/>
    <x v="1"/>
    <s v="ZONA: CONDORILLO PARTE ALTA"/>
    <n v="933852105"/>
    <n v="21877109"/>
    <s v="F1"/>
  </r>
  <r>
    <n v="165"/>
    <s v="OLIVERO TORRES GLORIA YSABEL"/>
    <s v="Av. Fatima Sunampe"/>
    <x v="2"/>
    <s v="ZONA: SUNAMPE – COLEGIO"/>
    <n v="977349625"/>
    <n v="21877465"/>
    <s v="F1"/>
  </r>
  <r>
    <n v="166"/>
    <s v="CONTRERAS ENRIQUEZ CARLOS JAVIER"/>
    <s v="SANTA FE calle primavera lomo largo 441"/>
    <x v="2"/>
    <s v="ZONA: SUNAMPE – SANTA FE"/>
    <n v="956118797"/>
    <n v="21877560"/>
    <s v="F1"/>
  </r>
  <r>
    <n v="167"/>
    <s v="FELIX MARCOS VERONICA GLORIA"/>
    <s v="AV. SANTA RITA S/N, PSJ. JABONCILLO - CONDORILLO BAJO - CHINCHA"/>
    <x v="1"/>
    <s v="ZONA: CHINCHA - PROGRESO"/>
    <s v="965 691 720"/>
    <n v="21878192"/>
    <s v="F1"/>
  </r>
  <r>
    <n v="168"/>
    <s v="LLIUYA PEVE JAVIER WILIAN"/>
    <s v="condorillo, frente a la base de condorillo"/>
    <x v="1"/>
    <s v="ZONA: CONDORILLO PARTE BAJA"/>
    <n v="924638884"/>
    <n v="21878465"/>
    <s v="F1"/>
  </r>
  <r>
    <n v="169"/>
    <s v="MAGALLANES ALMEYDA MARIA MIRTHA"/>
    <s v="AV. ALVA MAURTUA N° 580 - CRUZ BLANCA - CHINCHA ALTA"/>
    <x v="1"/>
    <s v="ZONA: CRUZ BLANCA PARTE ALTA oruro"/>
    <n v="922427114"/>
    <n v="21878769"/>
    <s v="F1"/>
  </r>
  <r>
    <n v="170"/>
    <s v="HUANQUI TRILLO JUAN JOSE"/>
    <s v="AA.HH. LOS ALAMOS MZ 07 - LT. 03 - PUEBLO NUEVO"/>
    <x v="0"/>
    <s v="ZONA: PUEBLO - TECHO PROPIO"/>
    <n v="956487878"/>
    <n v="21879369"/>
    <s v="F1"/>
  </r>
  <r>
    <n v="172"/>
    <s v="ATUNCAR ROJAS ARMANDO FRANCISCO"/>
    <s v="CL. SAN PEDRO DE PILPA N°172 - ALFONSO UGARTE - SUNAMPE"/>
    <x v="2"/>
    <s v="ZONA: SUNAMPE – SAN PILPA"/>
    <s v="954 076 020"/>
    <n v="21879894"/>
    <s v="F1"/>
  </r>
  <r>
    <n v="173"/>
    <s v="UCEDA GONZALES VDA DE PALOMINO TERESA SILVANA"/>
    <s v="Villa Julia - Sunampe"/>
    <x v="2"/>
    <s v="ZONA: SUNAMPE – VILLA JULIA"/>
    <n v="918709040"/>
    <n v="21879925"/>
    <s v="F1"/>
  </r>
  <r>
    <n v="174"/>
    <s v="SARAVIA PACHAS LIDIA"/>
    <s v="Av. san antonio, guayabo psj. 29"/>
    <x v="2"/>
    <s v="ZONA: SUNAMPE – SAN IGNACIO"/>
    <n v="944804574"/>
    <n v="21880000"/>
    <s v="F1"/>
  </r>
  <r>
    <n v="175"/>
    <s v="CASAS DE LA CRUZ ELIZABETH"/>
    <s v="CL. EL CARMEN N°207 (PSJ. LOS CIRUELOS) - CRUZ BLANCA"/>
    <x v="1"/>
    <s v="ZONA: CRUZ BLANCA CAMPO"/>
    <s v="998 350 397"/>
    <n v="21881200"/>
    <s v="F1"/>
  </r>
  <r>
    <n v="177"/>
    <s v="ORMEÑO ROJAS ANA VERONICA"/>
    <s v="Calle Francisco Pizarro 109 - Chincha Alta REF:Frente a italika"/>
    <x v="1"/>
    <s v="Zona: Chincha"/>
    <n v="956434279"/>
    <n v="21881419"/>
    <s v="F1"/>
  </r>
  <r>
    <n v="178"/>
    <s v="AVILES CASTILLA NECY ARIANA"/>
    <s v="SAN MARTIN PSJ PACHAS MINA DE ORO"/>
    <x v="2"/>
    <s v="ZONA: SUNAMPE - MINA DE ORO"/>
    <n v="938865246"/>
    <n v="21881530"/>
    <s v="F1"/>
  </r>
  <r>
    <n v="179"/>
    <s v="FLORES CHAVEZ GIOVANNA MARISOL"/>
    <s v="FUNDO COLORADO MZ. C LT. 07 - GROCIO PRADO"/>
    <x v="0"/>
    <s v="ZONA: PUEBLO - SALVADOR"/>
    <s v="956 004 149"/>
    <n v="21881638"/>
    <s v="F1"/>
  </r>
  <r>
    <n v="180"/>
    <s v="TASAYCO MENDOZA LILIANA CATALINA"/>
    <s v="CL. SAN PEDRO DE PILPA Nª 588 - ALFONSO UGARTE - SUNAMPE"/>
    <x v="2"/>
    <s v="ZONA: SUNAMPE – SAN PILPA"/>
    <s v="912 180 079"/>
    <n v="21881955"/>
    <s v="F1"/>
  </r>
  <r>
    <n v="181"/>
    <s v="HUARANCA DURAND VICTOR"/>
    <s v="AA.HH. EL SALVADOR MZ. B LT. 17 - PUEBLO NUEVO"/>
    <x v="0"/>
    <s v="ZONA: PUEBLO - SALVADOR"/>
    <n v="932904801"/>
    <n v="21882395"/>
    <s v="F1"/>
  </r>
  <r>
    <n v="182"/>
    <s v="DE LA CRUZ HERNANDEZ RICHARD LEONARDO"/>
    <s v="Prolg. Paraiso S/N Lomo Largo"/>
    <x v="2"/>
    <s v="ZONA: SUNAMPE – PARAISO"/>
    <s v="951 138 073"/>
    <n v="21882415"/>
    <s v="F1"/>
  </r>
  <r>
    <n v="183"/>
    <s v="FUENTES HUAROTE PEDRO JOSHELIN"/>
    <s v="Av. San pedro de pilpa 461 - Sunampe"/>
    <x v="2"/>
    <s v="ZONA: SUNAMPE – SAN PILPA"/>
    <n v="936975821"/>
    <n v="21882687"/>
    <s v="F1"/>
  </r>
  <r>
    <n v="184"/>
    <s v="REBATTA MURGUEYTIO FERNANDO JAVIER"/>
    <s v="Sunampe , AV,FATIMA PASAJ LOS MARCLOS"/>
    <x v="2"/>
    <s v="ZONA: SUNAMPE – COLEGIO"/>
    <n v="932964975"/>
    <n v="21883163"/>
    <s v="F1"/>
  </r>
  <r>
    <n v="185"/>
    <s v="PAUCAR CASTILLON DIONISIA CECILIA"/>
    <s v="Condorillo Alto Mz. Z Lt. 16, pasando la Posta"/>
    <x v="1"/>
    <s v="ZONA: CONDORILLO PARTE ALTA"/>
    <n v="952695823"/>
    <n v="21883620"/>
    <s v="F1"/>
  </r>
  <r>
    <n v="186"/>
    <s v="QUISPE DE LA CRUZ JUAN MARCELINO"/>
    <s v="Psj. Santa Rosa Sunampe"/>
    <x v="2"/>
    <s v="ZONA: SUNAMPE – SAN PILPA"/>
    <s v="982 006 028"/>
    <n v="21883633"/>
    <s v="F1"/>
  </r>
  <r>
    <n v="187"/>
    <s v="MARCOS MENESES MAGALY AMPARO"/>
    <s v="Calle chorrillos  216- Tambo de Mora Ref: antes del caldo de gallina Juanita"/>
    <x v="4"/>
    <s v="Zona: Tambo de Mora 1"/>
    <n v="966978545"/>
    <n v="21884421"/>
    <s v="F1"/>
  </r>
  <r>
    <n v="189"/>
    <s v="TASAYCO BAUTISTA OSWALDO ERNESTO"/>
    <s v="Asociación virgen del Carmen mz. A lote 7 (Costado del estadio pasaje girasoles)"/>
    <x v="1"/>
    <s v="ZONA: CRUZ BLANCA PARTE BAJA"/>
    <n v="946044404"/>
    <n v="21884554"/>
    <s v="F1"/>
  </r>
  <r>
    <n v="190"/>
    <s v="FLOR GIOVANNA PABLO SOLIS"/>
    <s v="AA.HH. LAS ROCAS,  CL PAMPA DE ÑOCO - PUEBLO NUEVO"/>
    <x v="0"/>
    <s v="ZONA: PUEBLO - SATELITE - ROCAS"/>
    <s v="995 471 012"/>
    <n v="21884660"/>
    <s v="F1"/>
  </r>
  <r>
    <n v="191"/>
    <s v="PEÑA YATACO JUAN CESAR"/>
    <s v="Av Santa Rosa 229 Sunampe"/>
    <x v="2"/>
    <s v="ZONA: SUNAMPE – SANTA ROSA"/>
    <s v="981 474 206"/>
    <n v="21885259"/>
    <s v="F1"/>
  </r>
  <r>
    <n v="192"/>
    <s v="RUTH KARINA TAIPE BONIFACIO"/>
    <s v="PSJ. LOS GERANIOS S/N - C.P. LOMO LARGO - SUNAMPE"/>
    <x v="2"/>
    <s v="ZONA: SUNAMPE – PARAISO"/>
    <n v="955227823"/>
    <n v="21885316"/>
    <s v="F1"/>
  </r>
  <r>
    <n v="194"/>
    <s v="PACHAS SANCHEZ ALFREDO CARLOS"/>
    <s v="Pado de Gómez N 102    C. P  Huaca Grande."/>
    <x v="2"/>
    <s v="ZONA: SUNAMPE – SANTA ROSA"/>
    <s v="940 601 252"/>
    <n v="21886051"/>
    <s v="F1"/>
  </r>
  <r>
    <n v="195"/>
    <s v="MUNAYCO PEÑALOZA GLORIA YSABEL"/>
    <s v="Paso de gomez s/n, camino a huaca grande"/>
    <x v="2"/>
    <s v="Zona: Sunampe"/>
    <n v="998375132"/>
    <n v="21886081"/>
    <s v="F1"/>
  </r>
  <r>
    <n v="196"/>
    <s v="NAPA YATACO ZULLY TERESA"/>
    <s v="Av. san pedro de pilpa 159 int B"/>
    <x v="2"/>
    <s v="ZONA: SUNAMPE – SAN PILPA"/>
    <n v="955918541"/>
    <n v="21886108"/>
    <s v="F1"/>
  </r>
  <r>
    <n v="197"/>
    <s v="SARAVIA SEBASTIAN YANNINA"/>
    <s v="C.P. SAN ANTONIO MZ. F LT. 11, SANTA ROSA- SUNAMPE"/>
    <x v="2"/>
    <s v="ZONA: SUNAMPE – SANTA ROSA"/>
    <s v="934 102 473"/>
    <n v="21886144"/>
    <s v="F1"/>
  </r>
  <r>
    <n v="198"/>
    <s v="TORRES NAVARRETE CESAR JHONNY"/>
    <s v="Vilma leon Mz. B lt. 19"/>
    <x v="4"/>
    <s v="No especificado"/>
    <n v="988529924"/>
    <n v="21886411"/>
    <s v="F1"/>
  </r>
  <r>
    <n v="199"/>
    <s v="JUAN EDUARDO MALASQUEZ CHICO"/>
    <s v="ENTRADA SANTA FE, CAMINO EL SOCORRO - SUNAMPE"/>
    <x v="2"/>
    <s v="ZONA: SUNAMPE – SANTA FE"/>
    <n v="952631213"/>
    <n v="21887388"/>
    <s v="F1"/>
  </r>
  <r>
    <n v="200"/>
    <s v="VILLA CASTILLA MAGDALENA"/>
    <s v="PASAJE TUPAC AMARTU 132 CRUZ BLANCA"/>
    <x v="1"/>
    <s v="ZONA: CRUZ BLANCA PARTE ALTA oruro"/>
    <n v="955063711"/>
    <n v="21887537"/>
    <s v="F1"/>
  </r>
  <r>
    <n v="201"/>
    <s v="MAGALLANES GARCIA JULIO CESAR"/>
    <s v="TOMA DE CALA LT. 17 - CRUZ BLANCA - CHINCHA"/>
    <x v="1"/>
    <s v="ZONA: CRUZ BLANCA VIRGEN CARMEN"/>
    <n v="953433332"/>
    <n v="21887823"/>
    <s v="F1"/>
  </r>
  <r>
    <n v="202"/>
    <s v="CHOQUEZ PAREDES ANA CECILIA"/>
    <s v="CL. JOSÉ OLAYA N° 222-01 CERCADO DE CHINCHA ALTA"/>
    <x v="1"/>
    <s v="ZONA: CHINCHA - AMERICA"/>
    <n v="981290053"/>
    <n v="21887938"/>
    <s v="F1"/>
  </r>
  <r>
    <n v="203"/>
    <s v="SARAVIA VELA ROCIO HAYDEE"/>
    <s v="Av. San Antonio   - Santa Rosa - Sunampe"/>
    <x v="2"/>
    <s v="ZONA: SUNAMPE – SANTA ROSA"/>
    <s v="981 168 789"/>
    <n v="22303840"/>
    <s v="F1"/>
  </r>
  <r>
    <n v="204"/>
    <s v="ORTIZ CASTILLA YESENIA"/>
    <s v="HUSARES DE JUNIN MZ. N LT. 11 - PUEBLO NUEVO"/>
    <x v="0"/>
    <s v="ZONA: PUEBLO - SALVADOR"/>
    <s v="900 776 069"/>
    <n v="22309356"/>
    <s v="F1"/>
  </r>
  <r>
    <n v="205"/>
    <s v="CUADROS OSTIA FELIX EDUARDO"/>
    <s v="Av. Fátima - Psj Los Marcelos, Mz i Lot. 51"/>
    <x v="2"/>
    <s v="Zona: Sunampe"/>
    <n v="923716112"/>
    <n v="22318174"/>
    <s v="F1"/>
  </r>
  <r>
    <n v="206"/>
    <s v="JUAREZ TORRES LUCY YAMALI"/>
    <s v="AV. LUIS ALVA MAURTUA  Nº 525 - CRUZ BLANCA - CHINCHA ALTA"/>
    <x v="1"/>
    <s v="ZONA: CRUZ BLANCA PARTE BAJA"/>
    <n v="967591253"/>
    <n v="23019806"/>
    <s v="F1"/>
  </r>
  <r>
    <n v="208"/>
    <s v="LEON CHAMBI JUANA ROSA"/>
    <s v="AA.HH. JESUS MARIA Y JOSE MZ. C LT 01. - CHACARITA - SUNAMPE"/>
    <x v="2"/>
    <s v="ZONA: SUNAMPE – CHACARITA"/>
    <n v="934325672"/>
    <n v="29714569"/>
    <s v="F1"/>
  </r>
  <r>
    <n v="209"/>
    <s v="TASAYCO YOVERA ERIKA MELCHORITA"/>
    <s v="AV. SAN FRANCISCO N°156 - SAN IGNACIO - SUNAMPE"/>
    <x v="2"/>
    <s v="ZONA: SUNAMPE – SAN IGNACIO"/>
    <n v="950579561"/>
    <n v="32135963"/>
    <s v="F1"/>
  </r>
  <r>
    <n v="210"/>
    <s v="PONTE CERNA MARIBEL RUDI"/>
    <s v="Pasaje Santa Rosa - Espalda de Cruz Blanca"/>
    <x v="1"/>
    <s v="ZONA: CRUZ BLANCA PARTE BAJA"/>
    <n v="923757401"/>
    <n v="32872532"/>
    <s v="F1"/>
  </r>
  <r>
    <n v="211"/>
    <s v="MARCA MARCOS ELVIS VICTOR"/>
    <s v="Prolong. Ayacucho S/N"/>
    <x v="3"/>
    <s v="ZONA: GROCIO - MEJILLONEROS"/>
    <s v="921 796 516"/>
    <n v="40011025"/>
    <s v="F1"/>
  </r>
  <r>
    <n v="212"/>
    <s v="ROQUE ARZAPALO CLAUDIO"/>
    <s v="AV. FATIMA LT. 27 - SUNAMPE"/>
    <x v="2"/>
    <s v="ZONA: SUNAMPE – COLEGIO"/>
    <n v="934223941"/>
    <n v="40024626"/>
    <s v="F1"/>
  </r>
  <r>
    <n v="213"/>
    <s v="VILLA GOMEZ GIOVANNA ESTHER "/>
    <s v="CL. SAN PEDRO DE PILPA Nª 235 - C.P. ALFONSO UGARTE NORTE - SUNAMPE"/>
    <x v="2"/>
    <s v="ZONA: SUNAMPE – SAN PILPA"/>
    <s v="954 849 614"/>
    <n v="40036264"/>
    <s v="F1"/>
  </r>
  <r>
    <n v="214"/>
    <s v="QUISPE CHUQUISPUMA SANTA SILVESTRA"/>
    <s v="C.P. CONDORILLO ALTO MZ. L LT. 12 - CHINCHA"/>
    <x v="1"/>
    <s v="ZONA: CONDORILLO PARTE ALTA"/>
    <n v="934666371"/>
    <n v="40055313"/>
    <s v="F1"/>
  </r>
  <r>
    <n v="215"/>
    <s v="CASTILLA MUNAYCO MANUEL ELISBAN"/>
    <s v="CL. ANDRES CORCINO Nº 154 B - EL PORVENIR - GROCIO PRADO"/>
    <x v="3"/>
    <s v="ZONA: GROCIO - EL PORVENIR"/>
    <n v="956053142"/>
    <n v="40088068"/>
    <s v="F1"/>
  </r>
  <r>
    <n v="216"/>
    <s v="CARDENAS MALLQUI MARIA ROSARIO"/>
    <s v="Av.primavera - lomo largo"/>
    <x v="2"/>
    <s v="ZONA: SUNAMPE – PARAISO"/>
    <s v="956 353 843"/>
    <n v="40092221"/>
    <s v="F1"/>
  </r>
  <r>
    <n v="217"/>
    <s v="GUERRA DE LA CRUZ MARIA YSABEL"/>
    <s v="CALLE EL CARMEN N° 107 - CRUZ BLANCA - CHINCHA"/>
    <x v="1"/>
    <s v="ZONA: CRUZ BLANCA CAMPO"/>
    <n v="924428077"/>
    <n v="40117370"/>
    <s v="F1"/>
  </r>
  <r>
    <n v="218"/>
    <s v="ATUNCAR PERALTA MARIA ESPERANZA"/>
    <s v="CALLE LUIS  HERRERA Nº 400 - CHINCHA BAJA"/>
    <x v="4"/>
    <s v="Zona: Tambo de Mora 1"/>
    <n v="924256300"/>
    <n v="40146976"/>
    <s v="F1"/>
  </r>
  <r>
    <n v="220"/>
    <s v="GARCIA CASTILLA MARITZA"/>
    <s v="Prolongacion Alva Maurtua - Cruz Blanca (Ex toma de cala)"/>
    <x v="1"/>
    <s v="ZONA: CRUZ BLANCA PARTE BAJA"/>
    <n v="917631665"/>
    <n v="40231558"/>
    <s v="F1"/>
  </r>
  <r>
    <n v="221"/>
    <s v="BARRUTIA NAPA GERMAN YSAIAS"/>
    <s v="SUNAMPE PASO DE GOMEZ S/N"/>
    <x v="2"/>
    <s v="ZONA: SUNAMPE – COLEGIO"/>
    <n v="979420182"/>
    <n v="40339325"/>
    <s v="F1"/>
  </r>
  <r>
    <n v="223"/>
    <s v="DIAZ ROJAS ENEIDA ZULEMA"/>
    <s v="UPIS KEIKO SOFIA MZ. U LT. 12 - PUEBLO NUEVO"/>
    <x v="0"/>
    <s v="ZONA: PUEBLO - SALVADOR"/>
    <s v="975 290 503"/>
    <n v="40461640"/>
    <s v="F1"/>
  </r>
  <r>
    <n v="224"/>
    <s v="RITA MAGDALENA MUÑOZ VICENTE"/>
    <s v="AA. HH. CUIDAD SATELITE MZNA-D NRO. 16 - PUEBLO NUEVO"/>
    <x v="0"/>
    <s v="ZONA: PUEBLO - SATELITE"/>
    <n v="977723525"/>
    <n v="40476139"/>
    <s v="F1"/>
  </r>
  <r>
    <n v="226"/>
    <s v="ROJAS AVALOS CARMEN ISABEL"/>
    <s v="pasaje santa rosa sunampe, frente al grifo"/>
    <x v="2"/>
    <s v="ZONA: SUNAMPE – SAN PILPA"/>
    <n v="925286131"/>
    <n v="40521896"/>
    <s v="F1"/>
  </r>
  <r>
    <n v="227"/>
    <s v="ESPINOZA PAUCAR IRMA LIDIA"/>
    <s v="Plaza de armas de San Agustin Mz I Lt.11 ref: Una cuadra antes de la botica universal, casa celeste con rejas negras, en la misma casa hay una tienda"/>
    <x v="1"/>
    <s v="Zona: Chincha"/>
    <n v="922918771"/>
    <n v="40540779"/>
    <s v="F1"/>
  </r>
  <r>
    <n v="228"/>
    <s v="SARAVIA SOLARI YULIANA SARITA"/>
    <s v="Calle La Victoria 247 - Sunampe"/>
    <x v="2"/>
    <s v="ZONA: SUNAMPE – CALLE LIMA"/>
    <s v="947 502 742"/>
    <n v="40552662"/>
    <s v="F1"/>
  </r>
  <r>
    <n v="229"/>
    <s v="LAZARO CANCHARI DELFIN EDGAR"/>
    <s v="C.P. Condorillo Alto Mz Z Lt 22"/>
    <x v="1"/>
    <s v="ZONA: CONDORILLO PARTE ALTA"/>
    <n v="956790341"/>
    <n v="40554177"/>
    <s v="F1"/>
  </r>
  <r>
    <n v="230"/>
    <s v="NUÑEZ CALDERON ISABEL ALICIA"/>
    <s v="San Pedro De Pilpa Costado de la capilla"/>
    <x v="2"/>
    <s v="ZONA: SUNAMPE – SAN PILPA"/>
    <s v="939 309 903"/>
    <n v="40597904"/>
    <s v="F1"/>
  </r>
  <r>
    <n v="231"/>
    <s v="GARCIA URIBE GIOVANNY ALEXIS"/>
    <s v="Av. Primavera 724 - Sunampe  Ref:(A dos casas del Rest. Mar Verde)"/>
    <x v="2"/>
    <s v="ZONA: SUNAMPE – SANTA FE"/>
    <n v="936451639"/>
    <n v="40607609"/>
    <s v="F1"/>
  </r>
  <r>
    <n v="233"/>
    <s v="NAPA MARTINEZ MARIA"/>
    <s v="CL. VICTOR RAUL HAYA DE LA TORRE MZ. K LT. 27 - CHACARITA - SUNAMPE"/>
    <x v="2"/>
    <s v="ZONA: SUNAMPE – CHACARITA"/>
    <n v="923694440"/>
    <n v="40679555"/>
    <s v="F1"/>
  </r>
  <r>
    <n v="234"/>
    <s v="LILIAM MELCHORITA HERRERA BELLEZA "/>
    <s v="SANTA ROSA , SUNAMPE COSTADO DE PANADERIA JJ"/>
    <x v="2"/>
    <s v="ZONA: SUNAMPE – SANTA ROSA"/>
    <n v="961009005"/>
    <n v="40730622"/>
    <s v="F1"/>
  </r>
  <r>
    <n v="235"/>
    <s v="ALMEYDA ESTEBAN ANA MARIA"/>
    <s v="Av.Fatima 211"/>
    <x v="2"/>
    <s v="Zona: Sunampe"/>
    <n v="933815652"/>
    <n v="40753258"/>
    <s v="F1"/>
  </r>
  <r>
    <n v="236"/>
    <s v="JANAMPA QUISPE MARISOL"/>
    <s v="Condorillo Mz. I lt. 18"/>
    <x v="1"/>
    <s v="ZONA: CONDORILLO PARTE BAJA"/>
    <n v="933716900"/>
    <n v="40798009"/>
    <s v="F1"/>
  </r>
  <r>
    <n v="237"/>
    <s v="AYBAR VALENCIA MARIN"/>
    <s v="Calle san jose Mz. H Lt. 05 Huaca grande"/>
    <x v="2"/>
    <s v="ZONA: SUNAMPE – HUACA GRANDE"/>
    <n v="956287582"/>
    <n v="40803237"/>
    <s v="F1"/>
  </r>
  <r>
    <n v="238"/>
    <s v="SARAVIA TORRES TERESA YSABEL"/>
    <s v="CL. LA PALMA N° 114, TOMA DE CARRIZO - GROCIO PRADO"/>
    <x v="3"/>
    <s v="ZONA: GROCIO - EL PORVENIR"/>
    <s v="951 679 716"/>
    <n v="40813108"/>
    <s v="F1"/>
  </r>
  <r>
    <n v="240"/>
    <s v="CLEMENTE VILA MIGUEL ANGEL"/>
    <s v="PSJ SANTA ROSA NRO. S/N - CHINCHA ALTA"/>
    <x v="1"/>
    <s v="ZONA: CRUZ BLANCA PARTE BAJA"/>
    <n v="936199249"/>
    <n v="40845052"/>
    <s v="F1"/>
  </r>
  <r>
    <n v="241"/>
    <s v="NAPA CASTILLA GUSTAVO ANTONIO"/>
    <s v="PSJ. EL MILAGRO S/N, LOMO LARGO - SUNAMPE"/>
    <x v="2"/>
    <s v="ZONA: SUNAMPE – PARAISO"/>
    <n v="902712199"/>
    <n v="40860292"/>
    <s v="F1"/>
  </r>
  <r>
    <n v="242"/>
    <s v="CENTENO VALENCIA FABIO QUICO"/>
    <s v="AA-HH. EL SALVADOR MZ. B LT. 16 - PUEBLO NUEVO"/>
    <x v="0"/>
    <s v="ZONA: PUEBLO - SALVADOR"/>
    <n v="932904801"/>
    <n v="40866289"/>
    <s v="F1"/>
  </r>
  <r>
    <n v="243"/>
    <s v="ROJAS RAMOS KARINA"/>
    <s v="Av. Fatima S/N, Psj Rojas- Sunampe"/>
    <x v="2"/>
    <s v="Zona: Sunampe"/>
    <n v="902650710"/>
    <n v="40870868"/>
    <s v="F1"/>
  </r>
  <r>
    <n v="244"/>
    <s v="MARTINEZ VILLAR EPIFANIA CLEMENCIA"/>
    <s v="UPIS SAN ANDRES MZ. A - LT. 06 - PUEBLO NUEVO - CHINCHA"/>
    <x v="0"/>
    <s v="ZONA: PUEBLO - TECHO PROPIO"/>
    <s v="971 615 965"/>
    <n v="40905473"/>
    <s v="F1"/>
  </r>
  <r>
    <n v="245"/>
    <s v="PACHAS LEVANO PATRICIA DEL PILAR"/>
    <s v="HUACA GRANDE - SUNAMPE"/>
    <x v="2"/>
    <s v="ZONA: SUNAMPE – HUACA GRANDE"/>
    <n v="964901936"/>
    <n v="40956555"/>
    <s v="F1"/>
  </r>
  <r>
    <n v="246"/>
    <s v="TASAYCO LEVANO MIGUEL ANGEL"/>
    <s v="PSJ. LOS ANGELES S/N - C.P. MINA DE ORO - SUNAMPE"/>
    <x v="2"/>
    <s v="ZONA: SUNAMPE – CHACARITA"/>
    <n v="962278152"/>
    <n v="40956921"/>
    <s v="F1"/>
  </r>
  <r>
    <n v="247"/>
    <s v="CUEVA RICOPA SEGUNDO DAVID"/>
    <s v="CC.PP. MINA DE ORO MZ. B LT.27 - SUNAMPE"/>
    <x v="2"/>
    <s v="ZONA: SUNAMPE - MINA DE ORO"/>
    <n v="983112493"/>
    <n v="40969839"/>
    <s v="F1"/>
  </r>
  <r>
    <n v="251"/>
    <s v="MAGALLANES LUDEÑA ALEX"/>
    <s v="Av. Alva maurtua 5ta cuadra"/>
    <x v="1"/>
    <s v="ZONA: CRUZ BLANCA PARTE ALTA oruro"/>
    <n v="960490261"/>
    <n v="41008421"/>
    <s v="F1"/>
  </r>
  <r>
    <n v="252"/>
    <s v="QUISPE PACHAS RONNY PAUL"/>
    <s v="PROL. JUAN CASTILLA RONCERO N° LT 3 B, EL PORVENIR - GROCIO PRADO"/>
    <x v="3"/>
    <s v="ZONA: GROCIO - MEJILLONEROS"/>
    <s v="994 980 680"/>
    <n v="41075262"/>
    <s v="F1"/>
  </r>
  <r>
    <n v="253"/>
    <s v="VILLAR CASTILLO GUILIANA BERENIZ"/>
    <s v="Av Las Nazarenas 370-Huaca grande - Sunampe"/>
    <x v="2"/>
    <s v="ZONA: SUNAMPE – HUACA GRANDE"/>
    <n v="976790809"/>
    <n v="41096335"/>
    <s v="F1"/>
  </r>
  <r>
    <n v="254"/>
    <s v="HUAMAN VILLA CARLOS ALBERTO"/>
    <s v="Calle san vicente ferrer parada de los amigos nº 300 int. 5 - sunampe"/>
    <x v="2"/>
    <s v="ZONA: SUNAMPE – SAN PILPA"/>
    <n v="969553656"/>
    <n v="41112617"/>
    <s v="F1"/>
  </r>
  <r>
    <n v="255"/>
    <s v="GOITIA PEREZ YHONSONN"/>
    <s v="PSJ. SAN COSME Nª 185, CALLE ROSARIO 7TA CDRA - CHINCHA ALTA"/>
    <x v="0"/>
    <s v="ZONA: PUEBLO - TECHO PROPIO"/>
    <n v="995352283"/>
    <n v="41114586"/>
    <s v="F1"/>
  </r>
  <r>
    <n v="256"/>
    <s v="MALLQUI ANAYA SALUSTIA"/>
    <s v="AA.HH. Mina de oro Mz. A lt. 10- Sunampe"/>
    <x v="2"/>
    <s v="ZONA: SUNAMPE - MINA DE ORO"/>
    <n v="906520807"/>
    <n v="41130761"/>
    <s v="F1"/>
  </r>
  <r>
    <n v="257"/>
    <s v="HUANQUI TRILLO NAYADE SAIDA "/>
    <s v="AV. UNION Nº 3A - LOS ALAMOS - PUEBLO NUEVO"/>
    <x v="0"/>
    <s v="ZONA: PUEBLO - TECHO PROPIO"/>
    <s v="960 169 072"/>
    <n v="41135592"/>
    <s v="F1"/>
  </r>
  <r>
    <n v="258"/>
    <s v="ROJAS MAGALLANES OLGA"/>
    <s v="Av. Emancipación 390 - Sunampe Ref: frente al local Venture"/>
    <x v="2"/>
    <s v="ZONA: SUNAMPE – COLEGIO"/>
    <s v="900 544 587"/>
    <n v="41159105"/>
    <s v="F1"/>
  </r>
  <r>
    <n v="259"/>
    <s v="TORRES DEL AGUILA DORA ESTHER"/>
    <s v="Psj 2 de mayo #285-4 cruz Blanca Referencia espalda del colegio 22234"/>
    <x v="1"/>
    <s v="ZONA: CRUZ BLANCA PARTE ALTA oruro"/>
    <n v="991427548"/>
    <n v="41164414"/>
    <s v="F1"/>
  </r>
  <r>
    <n v="260"/>
    <s v="HUAMAN HUARAKCA CARMEN"/>
    <s v="SAN PEDRO DE PILPA LT 39 - LOMO LARGO - SUNAMPE"/>
    <x v="2"/>
    <s v="ZONA: SUNAMPE – SAN PILPA"/>
    <n v="917812810"/>
    <n v="41171884"/>
    <s v="F1"/>
  </r>
  <r>
    <n v="261"/>
    <s v="HUAMAN SARAVIA WILLIAM MIGUEL"/>
    <s v="PSJ. SAN BLAS N° 160, BARRIO ALFONSO UGARTE - SUNAMPE"/>
    <x v="2"/>
    <s v="ZONA: SUNAMPE – SAN PILPA"/>
    <s v="922 854 023"/>
    <n v="41181909"/>
    <s v="F1"/>
  </r>
  <r>
    <n v="262"/>
    <s v="TIPISMANA QUISPE RAMON DANIEL"/>
    <s v="AA.HH Mina de Oro PsJ. Los jazmines S/N"/>
    <x v="2"/>
    <s v="ZONA: SUNAMPE - MINA DE ORO"/>
    <s v="981 088 324"/>
    <n v="41191803"/>
    <s v="F1"/>
  </r>
  <r>
    <n v="263"/>
    <s v="BLANCA NELLY MESIAS MAGALLANES"/>
    <s v="ALVA MAURTUA MZ. B - LT. 12 - CRUZ BLANCA - CHINCHA ALTA"/>
    <x v="1"/>
    <s v="ZONA: CRUZ BLANCA PARTE BAJA"/>
    <n v="987136251"/>
    <n v="41240115"/>
    <s v="F1"/>
  </r>
  <r>
    <n v="264"/>
    <s v="PACHAS TIPISMANA ELIA"/>
    <s v="MZNA R Nro. Puerta 9C C.P. El Pedregal CHINCHA BAJA Ref: frente al pozo de semapach"/>
    <x v="4"/>
    <s v="Zona: Tambo de Mora 1"/>
    <n v="976916535"/>
    <n v="41256038"/>
    <s v="F1"/>
  </r>
  <r>
    <n v="265"/>
    <s v="GONZALES ATUNCAR MARIA VICTORIA"/>
    <s v="CALLE LOS ANGELES N368 - LOMO LARGO - SUNAMPE"/>
    <x v="2"/>
    <s v="ZONA: SUNAMPE – PARAISO"/>
    <n v="924052883"/>
    <n v="41256049"/>
    <s v="F1"/>
  </r>
  <r>
    <n v="266"/>
    <s v="PHAMELA ELUVINA VILCAPUMA HUAMAN"/>
    <s v="AA.HH. LAS ROCAS MZ. A - LT. 06 - PUEBLO NUEVO"/>
    <x v="0"/>
    <s v="ZONA: PUEBLO - SATELITE - ROCAS"/>
    <n v="956560777"/>
    <n v="41286561"/>
    <s v="F1"/>
  </r>
  <r>
    <n v="267"/>
    <s v="MAGALLANES TASAYCO LUIS RAUL"/>
    <s v="AV. UNION SANTA ROSA N103-18 - CRUZ BLANCA"/>
    <x v="1"/>
    <s v="ZONA: CRUZ BLANCA PARTE BAJA"/>
    <n v="984262279"/>
    <n v="41300828"/>
    <s v="F1"/>
  </r>
  <r>
    <n v="269"/>
    <s v="LOPEZ YATACO YENY YOLANDA"/>
    <s v="PSJ. LA FRONTERA Nª 150 - C.P. LOMO LARGO - SUNAMPE"/>
    <x v="2"/>
    <s v="ZONA: SUNAMPE – PARAISO"/>
    <s v="937 037 075"/>
    <n v="41334643"/>
    <s v="F1"/>
  </r>
  <r>
    <n v="272"/>
    <s v="MAGALLANES ALMEYDA VICTOR"/>
    <s v="Av. Paraiso Lomo largo, psj. Emeterio 151 - Sunampe"/>
    <x v="2"/>
    <s v="ZONA: SUNAMPE – PARAISO"/>
    <n v="912389935"/>
    <n v="41394395"/>
    <s v="F1"/>
  </r>
  <r>
    <n v="273"/>
    <s v="MATIAS ALMEYDA ROXANA ELIZABETH"/>
    <s v="CALLE LIMA 168A - SUNAMPE"/>
    <x v="2"/>
    <s v="ZONA: SUNAMPE – SIMON"/>
    <n v="955462278"/>
    <n v="41396255"/>
    <s v="F1"/>
  </r>
  <r>
    <n v="274"/>
    <s v="ALMEYDA PACHAS MAGALY TRIPSY"/>
    <s v="Calle San Antonio125 lomo largo"/>
    <x v="2"/>
    <s v="ZONA: SUNAMPE – PARAISO"/>
    <n v="993059870"/>
    <n v="41398673"/>
    <s v="F1"/>
  </r>
  <r>
    <n v="275"/>
    <s v="ROJAS PACHAS YOVANA VANESA"/>
    <s v="PSJ. SUCRE Nº 470, ESPALDA DE MINA DE ORO - SUNAMPE"/>
    <x v="2"/>
    <s v="ZONA: SUNAMPE - MINA DE ORO"/>
    <s v="904 410 306"/>
    <n v="41405135"/>
    <s v="F1"/>
  </r>
  <r>
    <n v="276"/>
    <s v="MARTINEZ QUIROGA ROMAIN VICTOR HUGO"/>
    <s v="Av. Primavera 130 - Lomo Largo -Sunampe"/>
    <x v="2"/>
    <s v="ZONA: SUNAMPE – PARAISO"/>
    <n v="917631684"/>
    <n v="41413801"/>
    <s v="F1"/>
  </r>
  <r>
    <n v="277"/>
    <s v="GARCIA GARCIA JENY CECILIA"/>
    <s v="toma de cala lt. 12"/>
    <x v="1"/>
    <s v="ZONA: CRUZ BLANCA VIRGEN CARMEN"/>
    <n v="923584871"/>
    <n v="41440625"/>
    <s v="F1"/>
  </r>
  <r>
    <n v="278"/>
    <s v="PARIONA POMA LUIS ALBERTO"/>
    <s v="CALLE LAS FLORES S/N - CHACARITA"/>
    <x v="2"/>
    <s v="ZONA: SUNAMPE – CHACARITA"/>
    <s v="946 414 460"/>
    <n v="41445602"/>
    <s v="F1"/>
  </r>
  <r>
    <n v="279"/>
    <s v="MENESES TASAYCO BLANCA MARIBEL "/>
    <s v="CL. EL CARMEN N° 210 - CRUZ BLANCA - CHINCHA ALTA"/>
    <x v="1"/>
    <s v="ZONA: CRUZ BLANCA CAMPO"/>
    <n v="947102131"/>
    <n v="41455781"/>
    <s v="F1"/>
  </r>
  <r>
    <n v="280"/>
    <s v="CARBAJAL YATACO MIRTHA"/>
    <s v="Av. San Gregorio 105 (carrizo, paradero de motos)"/>
    <x v="3"/>
    <s v="ZONA: GROCIO - EL PORVENIR"/>
    <s v="906 877 348"/>
    <n v="41509694"/>
    <s v="F1"/>
  </r>
  <r>
    <n v="281"/>
    <s v="GONZALES FUENTES JAVIER WILLIAM"/>
    <s v="Av. Nueva esperanza lote 24 - grocio prado"/>
    <x v="3"/>
    <s v="ZONA: GROCIO - MEJILLONEROS"/>
    <n v="960687397"/>
    <n v="41525338"/>
    <s v="F1"/>
  </r>
  <r>
    <n v="282"/>
    <s v="MESIAS MAGALLANES ROBERT"/>
    <s v="Av. Unión n°107 Puerta 05 A , Centro Poblado Santa Rosa- Cruz Blanca"/>
    <x v="1"/>
    <s v="ZONA: CRUZ BLANCA PARTE BAJA"/>
    <n v="980520938"/>
    <n v="41536457"/>
    <s v="F1"/>
  </r>
  <r>
    <n v="283"/>
    <s v="TOVAR HUAMAN LIZ JESUS"/>
    <s v="Av.Los Arenales #268"/>
    <x v="1"/>
    <s v="ZONA: CRUZ BLANCA VIRGEN CARMEN"/>
    <s v="945 506 447"/>
    <n v="41538126"/>
    <s v="F1"/>
  </r>
  <r>
    <n v="284"/>
    <s v="ITURRIZAGA SULCA RUBEN"/>
    <s v="AA.HH. VIRGEN DEL CARMEN MZ I LT 24 - CHINCHA ALTA"/>
    <x v="1"/>
    <s v="ZONA: CRUZ BLANCA VIRGEN CARMEN"/>
    <n v="965161138"/>
    <n v="41538473"/>
    <s v="F1"/>
  </r>
  <r>
    <n v="285"/>
    <s v="TASAYCO MAGALLANES ALICIA MARIA"/>
    <s v="PSJ. DOS DE MAYO N°303 - CRUZ BLANCA"/>
    <x v="1"/>
    <s v="ZONA: CRUZ BLANCA PARTE ALTA oruro"/>
    <n v="945857289"/>
    <n v="41576648"/>
    <s v="F1"/>
  </r>
  <r>
    <n v="286"/>
    <s v="RAMOS ATUNCAR PATRICIA ARACELY"/>
    <s v="PSJ. DONAYRE N° 375 - CHINCHA ALTA"/>
    <x v="1"/>
    <s v="ZONA: CHINCHA - AMERICA"/>
    <n v="930275002"/>
    <n v="41587522"/>
    <s v="F1"/>
  </r>
  <r>
    <n v="287"/>
    <s v="ABURTO DE LA CRUZ CARMEN ROSA"/>
    <s v="SAN IGANCIO PASANDO  Cevicheria de san ignacio"/>
    <x v="2"/>
    <s v="ZONA: SUNAMPE – SAN IGNACIO"/>
    <n v="936972485"/>
    <n v="41615897"/>
    <s v="F1"/>
  </r>
  <r>
    <n v="288"/>
    <s v="QUISPE SANCHEZ LINO"/>
    <s v="UPIS MARIO BIGGIO MZ. D - LT. 02 - GROCIO PRADO"/>
    <x v="0"/>
    <s v="ZONA: PUEBLO - TECHO PROPIO"/>
    <n v="945160889"/>
    <n v="41637529"/>
    <s v="F1"/>
  </r>
  <r>
    <n v="289"/>
    <s v="ATUNCAR NAPA ANA CECILIA"/>
    <s v="Av. Paraiso n° 48 - Sunampe"/>
    <x v="2"/>
    <s v="ZONA: SUNAMPE – PARAISO"/>
    <n v="935084522"/>
    <n v="41651018"/>
    <s v="F1"/>
  </r>
  <r>
    <n v="290"/>
    <s v="LEVANO CANTO CARLOS ALBERTO"/>
    <s v="Av. la alameda nº 232 interior 5 - Sunampe"/>
    <x v="2"/>
    <s v="ZONA: SUNAMPE – SANTA ROSA"/>
    <s v="960 581 966"/>
    <n v="41676070"/>
    <s v="F1"/>
  </r>
  <r>
    <n v="291"/>
    <s v="DE LA CRUZ MESIAS KARINA ORIELE"/>
    <s v="AV. Primavera 130"/>
    <x v="2"/>
    <s v="ZONA: SUNAMPE – PARAISO"/>
    <n v="945964998"/>
    <n v="41721338"/>
    <s v="F1"/>
  </r>
  <r>
    <n v="292"/>
    <s v="CARMEN DEL ROSARIO DE LA CRUZ PEREZ"/>
    <s v="PSJE AMORETTI NRO. PUERTA 580 - SUNAMPE, ANTIGUO SUNAMPE"/>
    <x v="2"/>
    <s v="ZONA: SUNAMPE – PARAISO"/>
    <n v="964428233"/>
    <n v="41730647"/>
    <s v="F1"/>
  </r>
  <r>
    <n v="293"/>
    <s v="CASTILLA MATEO JUAN CARLOS"/>
    <s v="AA.HH. JESUS MARIA Y JOSE Nº D-02 - CHINCHA ALTA"/>
    <x v="2"/>
    <s v="ZONA: SUNAMPE – CHACARITA"/>
    <n v="941327977"/>
    <n v="41730654"/>
    <s v="F1"/>
  </r>
  <r>
    <n v="295"/>
    <s v="MARTINEZ MARTINEZ SONIA"/>
    <s v="cruz blanca -  psj napa"/>
    <x v="1"/>
    <s v="ZONA: CRUZ BLANCA PARTE ALTA oruro"/>
    <n v="977873933"/>
    <n v="41731879"/>
    <s v="F1"/>
  </r>
  <r>
    <n v="296"/>
    <s v="ANGULO LOYOLA JHAN CARLOS"/>
    <s v="LUIS MASSARO EX PILPA - PLAZA CENTER CHINCHA - FRENTE A USJB STAND 210-D"/>
    <x v="2"/>
    <s v="ZONA: SUNAMPE – VILLA JULIA"/>
    <s v="998 308 628"/>
    <n v="41748230"/>
    <s v="F1"/>
  </r>
  <r>
    <n v="297"/>
    <s v="CHUMBIAUCA ALMEYDA MARCELO"/>
    <s v="Av. Principal Cacerio Huaca Grande"/>
    <x v="2"/>
    <s v="ZONA: SUNAMPE – COLEGIO"/>
    <s v="933 396 143"/>
    <n v="41764623"/>
    <s v="F1"/>
  </r>
  <r>
    <n v="298"/>
    <s v="ALMEYDA SARAVIA PEDRO FERNANDO"/>
    <s v="Calle Paso de Gomez nº 106- Sunampe Ref. Parte Baja o Rafichez"/>
    <x v="2"/>
    <s v="ZONA: SUNAMPE – SANTA ROSA"/>
    <n v="989621952"/>
    <n v="41784560"/>
    <s v="F1"/>
  </r>
  <r>
    <n v="299"/>
    <s v="ALMEYDA MAGALLANES YSABEL"/>
    <s v="Av. Paraiso 24-6"/>
    <x v="2"/>
    <s v="ZONA: SUNAMPE – PARAISO"/>
    <n v="959920227"/>
    <n v="41785064"/>
    <s v="F1"/>
  </r>
  <r>
    <n v="300"/>
    <s v="MAGALLANES PEREZ ZOILA"/>
    <s v="Av. San Francisco 191 - San Ignacio - Sunampe"/>
    <x v="2"/>
    <s v="ZONA: SUNAMPE – SAN IGNACIO"/>
    <s v="941 295 671"/>
    <n v="41794523"/>
    <s v="F1"/>
  </r>
  <r>
    <n v="301"/>
    <s v="ROJAS CONTRERAS CECILIA"/>
    <s v="AV. MONTERICO N° 405 - C.P. MONTE RICO - SUNAMPE (REF. PASANDO EL COLEGIO SIMON BOLIVAR)"/>
    <x v="2"/>
    <s v="ZONA: SUNAMPE – SIMON"/>
    <n v="943326467"/>
    <n v="41834203"/>
    <s v="F1"/>
  </r>
  <r>
    <n v="303"/>
    <s v="MARTINEZ MINAYA HUGO ANDRES"/>
    <s v="URB. LOS VIÑEDOS MZ. R2 - LT. 07 - CHINCHA ALTA"/>
    <x v="0"/>
    <s v="ZONA: PUEBLO - TECHO PROPIO"/>
    <s v="974 636 321"/>
    <n v="41854580"/>
    <s v="F1"/>
  </r>
  <r>
    <n v="304"/>
    <s v="ATUNCAR DE LA CRUZ VICTOR CESAR"/>
    <s v="Av. Fatima 363 - Sunampe"/>
    <x v="2"/>
    <s v="ZONA: SUNAMPE – HUACA GRANDE"/>
    <n v="902051563"/>
    <n v="41869258"/>
    <s v="F1"/>
  </r>
  <r>
    <n v="305"/>
    <s v="DE LA CRUZ GONZALES KARINA HILDA"/>
    <s v="PSJ. BENAVIDES N° 138-04 - CERCADO CHINCHA ALTA (PROGRESO)"/>
    <x v="1"/>
    <s v="ZONA: CHINCHA - AMERICA"/>
    <s v="946 307 544"/>
    <n v="41872411"/>
    <s v="F1"/>
  </r>
  <r>
    <n v="306"/>
    <s v="BALLARTA BACA KATTY KARINA"/>
    <s v="Asoc. Civil virgen del carmen Mz. B lt. 13"/>
    <x v="1"/>
    <s v="ZONA: CRUZ BLANCA PARTE BAJA"/>
    <n v="947107155"/>
    <n v="41874688"/>
    <s v="F1"/>
  </r>
  <r>
    <n v="307"/>
    <s v="MATIAS MATIAS ANIBAL"/>
    <s v="AV. PARAISO S/N, LOMO LARGO - SUNAMPE"/>
    <x v="2"/>
    <s v="ZONA: SUNAMPE – PARAISO"/>
    <s v="956 149 489"/>
    <n v="41878632"/>
    <s v="F1"/>
  </r>
  <r>
    <n v="308"/>
    <s v="NAPA MENESES MARITZA LUZ"/>
    <s v="Calle Alva Maurtua - Cruz Blanca"/>
    <x v="1"/>
    <s v="ZONA: CRUZ BLANCA PARTE BAJA"/>
    <n v="902746205"/>
    <n v="41886432"/>
    <s v="F1"/>
  </r>
  <r>
    <n v="309"/>
    <s v="MENESES CRISOSTOMO MARILU"/>
    <s v="PSJ. LAS FRONTERAS S/N - LOMO LARGO - SUNAMPE"/>
    <x v="2"/>
    <s v="ZONA: SUNAMPE – PARAISO"/>
    <s v="916 728 107"/>
    <n v="41893651"/>
    <s v="F1"/>
  </r>
  <r>
    <n v="310"/>
    <s v="JOSE ANTONIO SARAVIA PADILLA"/>
    <s v="PSJE LOS PINOS 176-03 - C.P. SAN IGNACIO - SUNAMPE"/>
    <x v="2"/>
    <s v="ZONA: SUNAMPE – SAN IGNACIO"/>
    <n v="980996099"/>
    <n v="41901626"/>
    <s v="F1"/>
  </r>
  <r>
    <n v="311"/>
    <s v="SOTA PACHECO HARRY ANGEL"/>
    <s v="AV. ALVA MAURTUA MZ. B LT. 17 - CRUZ BLANCA"/>
    <x v="1"/>
    <s v="ZONA: CRUZ BLANCA PARTE BAJA"/>
    <n v="934439107"/>
    <n v="41951909"/>
    <s v="F1"/>
  </r>
  <r>
    <n v="312"/>
    <s v="SARAVIA YATACO ARMANDO FELIX"/>
    <s v="Psj. Betania interior 04 Nº 390 - Guayabo - Sunampe"/>
    <x v="2"/>
    <s v="ZONA: SUNAMPE – VILLA JULIA"/>
    <n v="979645543"/>
    <n v="41971143"/>
    <s v="F1"/>
  </r>
  <r>
    <n v="314"/>
    <s v="TORRES RAMOS HENRY"/>
    <s v="PSJ. SAN FRANCISCO 191 - SAN IGNACIO - SUNAMPE"/>
    <x v="2"/>
    <s v="ZONA: SUNAMPE – SAN IGNACIO"/>
    <s v="987 820 479"/>
    <n v="42023932"/>
    <s v="F1"/>
  </r>
  <r>
    <n v="315"/>
    <s v="MARTINEZ CASTILLA MARIA YSABEL"/>
    <s v="PSJ. SANTOS CHOCANO N° 148"/>
    <x v="2"/>
    <s v="ZONA: SUNAMPE – SAN PILPA"/>
    <n v="943594389"/>
    <n v="42027104"/>
    <s v="F1"/>
  </r>
  <r>
    <n v="316"/>
    <s v="AVALOS SARAVIA RODOLFO AGUSTIN"/>
    <s v="AV. EL PORVENIR S/N - GROCIO PRADO"/>
    <x v="3"/>
    <s v="ZONA: GROCIO - EL PORVENIR"/>
    <s v="944 706 287"/>
    <n v="42064586"/>
    <s v="F1"/>
  </r>
  <r>
    <n v="317"/>
    <s v="HUAMAN QUISPE WALMER ALEXANDER"/>
    <s v="Av arenales 420 Tupac amaru zona A"/>
    <x v="1"/>
    <s v="Zona: Chincha"/>
    <n v="980221807"/>
    <n v="42086543"/>
    <s v="F1"/>
  </r>
  <r>
    <n v="318"/>
    <s v="PATRICIA MELINA DONAYRE LOPEZ"/>
    <s v="av. las nazarenas 62a Huaca Grande"/>
    <x v="2"/>
    <s v="ZONA: SUNAMPE – HUACA GRANDE"/>
    <n v="979309471"/>
    <n v="42102284"/>
    <s v="F1"/>
  </r>
  <r>
    <n v="319"/>
    <s v="MIRNA PASACHE LEGUA"/>
    <s v="Av. Emancipacion - Sunampe, freente del colegio 22268"/>
    <x v="2"/>
    <s v="ZONA: SUNAMPE – COLEGIO"/>
    <n v="984001622"/>
    <n v="42139473"/>
    <s v="F1"/>
  </r>
  <r>
    <n v="320"/>
    <s v="CARPIO MOSQUERA MANUEL RUFINO"/>
    <s v="AV. JOSE OLAYA, PSJ. LOS CIRUELOS S/N - AMERICA - CHINCHA"/>
    <x v="1"/>
    <s v="ZONA: CHINCHA - PROGRESO"/>
    <s v="No especificado"/>
    <n v="42166322"/>
    <s v="F1"/>
  </r>
  <r>
    <n v="321"/>
    <s v="CORDERO MURILLO MARGARITA"/>
    <s v="SANTA ROSA- SUNAMPE"/>
    <x v="2"/>
    <s v="ZONA: SUNAMPE – SANTA ROSA"/>
    <s v="937 061 341"/>
    <n v="42277973"/>
    <s v="F1"/>
  </r>
  <r>
    <n v="322"/>
    <s v="FELIPA LOPEZ JORGE LUIS"/>
    <s v="LA VICTORIA Nº 128"/>
    <x v="2"/>
    <s v="ZONA: SUNAMPE – CALLE LIMA"/>
    <n v="995533288"/>
    <n v="42286515"/>
    <s v="F1"/>
  </r>
  <r>
    <n v="323"/>
    <s v="NAVARRO SARAVIA JUAN RONALD"/>
    <s v="Calle El carmen, psj los ciruelos"/>
    <x v="1"/>
    <s v="ZONA: CRUZ BLANCA CAMPO"/>
    <n v="917695094"/>
    <n v="42360247"/>
    <s v="F1"/>
  </r>
  <r>
    <n v="324"/>
    <s v="VILLA TASAYCO JOSE"/>
    <s v="Psj. La victoria - Lomo largo - San Pedro de pilpa - Sunampe"/>
    <x v="2"/>
    <s v="ZONA: SUNAMPE – PARAISO"/>
    <s v="987 776 269"/>
    <n v="42408411"/>
    <s v="F1"/>
  </r>
  <r>
    <n v="325"/>
    <s v="ATUNCAR ALMEYDA MARIA FRANCISCA"/>
    <s v="PSJ. ALMEYDA Nª 108 INT. 05 - SUNAMPE"/>
    <x v="2"/>
    <s v="ZONA: SUNAMPE – SAN PILPA"/>
    <s v="960 481 575"/>
    <n v="42416159"/>
    <s v="F1"/>
  </r>
  <r>
    <n v="326"/>
    <s v="CARDENAS GONZALES MARISSA CRISTINA"/>
    <s v="PSJ. EMANCIPACION S/N, PASO DE GOMEZ - SUNAMPE"/>
    <x v="2"/>
    <s v="ZONA: SUNAMPE – COLEGIO"/>
    <n v="957783182"/>
    <n v="42433139"/>
    <s v="F1"/>
  </r>
  <r>
    <n v="328"/>
    <s v="MARTINEZ SARAVIA KARINA JHOANNA"/>
    <s v="AA.HH. LA UNION HACE LA FUERZA MZ. D LT. 10 -  SUNAMPE"/>
    <x v="2"/>
    <s v="ZONA: SUNAMPE - MINA DE ORO"/>
    <n v="932425236"/>
    <n v="42501542"/>
    <s v="F1"/>
  </r>
  <r>
    <n v="330"/>
    <s v="MENESES CRISOSTOMO MARITZA"/>
    <s v="LOMO LARGO PASANDO LA PLAZA DE ARMAS"/>
    <x v="2"/>
    <s v="ZONA: SUNAMPE – PARAISO"/>
    <s v="937 337 247"/>
    <n v="42508966"/>
    <s v="F1"/>
  </r>
  <r>
    <n v="331"/>
    <s v="NAPA CARBAJAL DE MENESES MARIA ELENA"/>
    <s v="Calle El carmen 180-cruz blanca"/>
    <x v="1"/>
    <s v="ZONA: CRUZ BLANCA PARTE BAJA"/>
    <s v="940 088 604"/>
    <n v="42517738"/>
    <s v="F1"/>
  </r>
  <r>
    <n v="334"/>
    <s v="GIRAO ATUNCAR JAVIER ORLANDO"/>
    <s v="Av. Alfonso Ugarte Mz M Lt 5, CP San Pedro de Pilpa - Sunampe"/>
    <x v="2"/>
    <s v="ZONA: SUNAMPE – SAN PILPA"/>
    <n v="987013897"/>
    <n v="42567350"/>
    <s v="F1"/>
  </r>
  <r>
    <n v="335"/>
    <s v="SAAVEDRA ADVINCULA JEYMI YULIANA"/>
    <s v="San Luis Mz.A lote 18 Tambo de Mora"/>
    <x v="4"/>
    <s v="No especificado"/>
    <n v="933433628"/>
    <n v="42605824"/>
    <s v="F1"/>
  </r>
  <r>
    <n v="336"/>
    <s v="NAPA ROJAS HUGO EDUARDO"/>
    <s v="Av San Pedro de Pilpa 475"/>
    <x v="2"/>
    <s v="ZONA: SUNAMPE – SAN PILPA"/>
    <s v="969 681 623"/>
    <n v="42652351"/>
    <s v="F1"/>
  </r>
  <r>
    <n v="337"/>
    <s v="GONZALES NAPA WALTER MARTIN"/>
    <s v="AV. ALVA MAURTUA N°508 - CRUZ BLANCA"/>
    <x v="1"/>
    <s v="ZONA: CRUZ BLANCA PARTE ALTA oruro"/>
    <n v="980105151"/>
    <n v="42697575"/>
    <s v="F1"/>
  </r>
  <r>
    <n v="338"/>
    <s v="ALMEIDA GARCIA KATI NELLY"/>
    <s v="Asoc. Nueva generacion siglo 21"/>
    <x v="1"/>
    <s v="ZONA: CRUZ BLANCA VIRGEN CARMEN"/>
    <s v="980 783 090"/>
    <n v="42698548"/>
    <s v="F1"/>
  </r>
  <r>
    <n v="339"/>
    <s v="MAGALLANES TASAYCO JUAN JESUS"/>
    <s v="AA.HH SAN VALENTIN F-4, CC.PP. CONDORILLO ALTO"/>
    <x v="1"/>
    <s v="ZONA: CRUZ BLANCA CAMPO"/>
    <s v="984 202 663"/>
    <n v="42704332"/>
    <s v="F1"/>
  </r>
  <r>
    <n v="340"/>
    <s v="CORDOVA DE LA CRUZ JORGE LUIS"/>
    <s v="CL. SAN ANTONIO S/N, BARRIO MELCHORITA II - GROCIO PRADO"/>
    <x v="3"/>
    <s v="ZONA: GROCIO - MEJILLONEROS"/>
    <n v="952037051"/>
    <n v="42739534"/>
    <s v="F1"/>
  </r>
  <r>
    <n v="342"/>
    <s v="DIAZ TASAYCO CARLOS YVAN"/>
    <s v="AA.HH. SAN JUDAS TADEO MZ. E LT. 4 - SUNAMPE - CHINCHA"/>
    <x v="2"/>
    <s v="ZONA: SUNAMPE - MINA DE ORO"/>
    <n v="908601428"/>
    <n v="42777407"/>
    <s v="F1"/>
  </r>
  <r>
    <n v="343"/>
    <s v="MATIAS PEÑALOZA CRISTIAN GUSTAVO"/>
    <s v="CALLE LAS NAZARENAS Nº36 - HUACA GRANDE - SUNAMPE"/>
    <x v="2"/>
    <s v="ZONA: SUNAMPE – HUACA GRANDE"/>
    <n v="982856336"/>
    <n v="42791418"/>
    <s v="F1"/>
  </r>
  <r>
    <n v="344"/>
    <s v="PORTILLA NAPA MARIA ESTHER"/>
    <s v="AV. LAS FLORES N134 - CHACARITA - SUNAMPE"/>
    <x v="2"/>
    <s v="ZONA: SUNAMPE – CHACARITA"/>
    <n v="946186473"/>
    <n v="42827804"/>
    <s v="F1"/>
  </r>
  <r>
    <n v="345"/>
    <s v="GARAY TORRES JUAN CARLOS"/>
    <s v="Av. los libertadores 288 sunampe"/>
    <x v="2"/>
    <s v="Zona: Sunampe"/>
    <n v="921424974"/>
    <n v="42873960"/>
    <s v="F1"/>
  </r>
  <r>
    <n v="346"/>
    <s v="ROJAS GUERRA EDGAR EDUARDO"/>
    <s v="C.P. EL TIGRE 141 INT. 01 - CHINCHA ALTA"/>
    <x v="1"/>
    <s v="ZONA: CRUZ BLANCA PARTE BAJA"/>
    <s v="960 329 089"/>
    <n v="42876347"/>
    <s v="F1"/>
  </r>
  <r>
    <n v="347"/>
    <s v="CHICO YATACO MARISELA"/>
    <s v="Avenida San Rafael #256 Grocio Prado (frente al campo de los mejilloneros)"/>
    <x v="3"/>
    <s v="ZONA: GROCIO - MEJILLONEROS"/>
    <n v="955267416"/>
    <n v="42912738"/>
    <s v="F1"/>
  </r>
  <r>
    <n v="348"/>
    <s v="HERRERA LEVANO ANA MARIA"/>
    <s v="UPIS VILLA ESPERANZA MZ. B LT. 15, MINA DE ORO - SUNAMPE"/>
    <x v="2"/>
    <s v="ZONA: SUNAMPE - MINA DE ORO"/>
    <s v="975 338 281"/>
    <n v="42981781"/>
    <s v="F1"/>
  </r>
  <r>
    <n v="350"/>
    <s v="PAEZ SOTELO HELLEN VICTORIA"/>
    <s v="Calle San Antonio 301 - Sunampe"/>
    <x v="2"/>
    <s v="ZONA: SUNAMPE – SAN IGNACIO"/>
    <n v="991881274"/>
    <n v="43073315"/>
    <s v="F1"/>
  </r>
  <r>
    <n v="351"/>
    <s v="GARCIA GARIBAY EMILIA MELCHORITA"/>
    <s v="C.P. CONDORILLO ALTO, CRUZ DEL ROSARIO MZ A LT 12 - CHINCHA"/>
    <x v="1"/>
    <s v="ZONA: CONDORILLO PARTE ALTA"/>
    <n v="977207233"/>
    <n v="43081077"/>
    <s v="F1"/>
  </r>
  <r>
    <n v="353"/>
    <s v="SARAVIA SEBASTIAN VERONICA"/>
    <s v="psj santa rosa sunampe guayabo cholo"/>
    <x v="2"/>
    <s v="ZONA: SUNAMPE – SAN IGNACIO"/>
    <s v="984 964 759"/>
    <n v="43085081"/>
    <s v="F1"/>
  </r>
  <r>
    <n v="354"/>
    <s v="DIANA CAROLINA ROJAS RAMOS"/>
    <s v="AV. FATIMA LT. 31 - SUNAMPE"/>
    <x v="2"/>
    <s v="ZONA: SUNAMPE – COLEGIO"/>
    <s v="956 499 148"/>
    <n v="43092297"/>
    <s v="F1"/>
  </r>
  <r>
    <n v="355"/>
    <s v="SANCHEZ MENDOZA SILVANA TEODORA"/>
    <s v="Carretera Sunampe 701 1era entrada Santa Rosa Sunampe"/>
    <x v="2"/>
    <s v="ZONA: SUNAMPE – SANTA ROSA"/>
    <n v="966954909"/>
    <n v="43097840"/>
    <s v="F1"/>
  </r>
  <r>
    <n v="356"/>
    <s v="NAPA AVALOS JUAN JOSE"/>
    <s v="Calle jorge chavez Mz B Lote 16  CHACARITA"/>
    <x v="2"/>
    <s v="ZONA: SUNAMPE – CHACARITA"/>
    <n v="946132109"/>
    <n v="43107478"/>
    <s v="F1"/>
  </r>
  <r>
    <n v="357"/>
    <s v="SANTIAGO NAPA JHON ROBERT"/>
    <s v="PSJ. SAN BLAS N241 - LOMO LARGO - SUNAMPE"/>
    <x v="2"/>
    <s v="ZONA: SUNAMPE – SAN PILPA"/>
    <n v="921430485"/>
    <n v="43145534"/>
    <s v="F1"/>
  </r>
  <r>
    <n v="358"/>
    <s v="PEVE GUERRA OSWALDO EFRAIN"/>
    <s v="C.P. CONDORILLO ALTO MZ. I - LT. 12 - CHINCHA ALTA"/>
    <x v="1"/>
    <s v="ZONA: CONDORILLO PARTE BAJA"/>
    <n v="914717616"/>
    <n v="43210229"/>
    <s v="F1"/>
  </r>
  <r>
    <n v="359"/>
    <s v="QUISPE CONISLLA HUBER BASILIO"/>
    <s v="PSJ. SANTA ROSA S/N - CRUZ BLANCHA - CHINCHA ALTA"/>
    <x v="1"/>
    <s v="ZONA: CRUZ BLANCA VIRGEN CARMEN"/>
    <s v="913 747 534"/>
    <n v="43220061"/>
    <s v="F1"/>
  </r>
  <r>
    <n v="360"/>
    <s v="MARTINEZ TASAYCO CYNTIA MABEL"/>
    <s v="CL 7 DE DICIEMBRE LT 23 - CERCADO DE GROCIO PRADO"/>
    <x v="3"/>
    <s v="ZONA: GROCIO - SAN JOSE"/>
    <n v="912137877"/>
    <n v="43221264"/>
    <s v="F1"/>
  </r>
  <r>
    <n v="361"/>
    <s v="VELASQUEZ DE LA CRUZ LUISA HERMELINDA"/>
    <s v="Pasaje Jose Olaya- Entrada Condoriilo"/>
    <x v="1"/>
    <s v="ZONA: CRUZ BLANCA PARTE ALTA oruro"/>
    <n v="969738812"/>
    <n v="43221317"/>
    <s v="F1"/>
  </r>
  <r>
    <n v="362"/>
    <s v="ALFONSO TORRES NOEMI MARLENY"/>
    <s v="CL. SAN JUAN S/N - SAN PEDRO DE PILPA - SUNAMPE"/>
    <x v="2"/>
    <s v="ZONA: SUNAMPE – SAN PILPA"/>
    <n v="943699490"/>
    <n v="43271704"/>
    <s v="F1"/>
  </r>
  <r>
    <n v="363"/>
    <s v="FACHO LOZADA AUGUSTO IGNACIO"/>
    <s v="AV.PRINCIPAL 543 SUNAMPE LOTE 6A"/>
    <x v="2"/>
    <s v="ZONA: SUNAMPE – SANTA ROSA"/>
    <n v="998530990"/>
    <n v="43312934"/>
    <s v="F1"/>
  </r>
  <r>
    <n v="364"/>
    <s v="HERRERA SAAVEDRA ESTELA"/>
    <s v="AA.HH. Satelite primaveral Mz. D lt.3"/>
    <x v="0"/>
    <s v="Zona:  SrMilagros"/>
    <n v="964443204"/>
    <n v="43332030"/>
    <s v="F1"/>
  </r>
  <r>
    <n v="365"/>
    <s v="CHAVEZ YATACO JESUS ALBERTO"/>
    <s v="Psj. Santa Rosa S/N - Cruz Blanca"/>
    <x v="1"/>
    <s v="ZONA: CRUZ BLANCA CAMPO"/>
    <n v="921159983"/>
    <n v="43350897"/>
    <s v="F1"/>
  </r>
  <r>
    <n v="366"/>
    <s v="ANCHANTE RICALES ARTURO OMAR"/>
    <s v="urb. Oliva razzeto mzn a J lote 28 PUEBLO NUEVO"/>
    <x v="0"/>
    <s v="Zona: Rosedal"/>
    <n v="935252637"/>
    <n v="43353994"/>
    <s v="F1"/>
  </r>
  <r>
    <n v="367"/>
    <s v="MENESES CANELO GLORIA MARIA"/>
    <s v="Tambo de Mora"/>
    <x v="4"/>
    <s v="No especificado"/>
    <n v="923069145"/>
    <n v="43362314"/>
    <s v="F1"/>
  </r>
  <r>
    <n v="368"/>
    <s v="MARTINEZ CASTILLA ANA CECILIA"/>
    <s v="PSJ JOSE SANTOS CHOCANO 145 - San Pedro de Pilpa"/>
    <x v="2"/>
    <s v="ZONA: SUNAMPE – SAN PILPA"/>
    <n v="934981060"/>
    <n v="43413495"/>
    <s v="F1"/>
  </r>
  <r>
    <n v="369"/>
    <s v="TORRES DE LA CRUZ DENISSE ANGELITA"/>
    <s v="AV. HUASCAR Nª 148 - C.P. SAN IGNACIO - SUNAMPE"/>
    <x v="2"/>
    <s v="ZONA: SUNAMPE – SAN IGNACIO"/>
    <s v="944 197 332"/>
    <n v="43451897"/>
    <s v="F1"/>
  </r>
  <r>
    <n v="370"/>
    <s v="TORRES TASAYCO VICTOR HUGO"/>
    <s v="PSJ. 2 DE MAYO N° 309 - CRUZ BLANCA"/>
    <x v="1"/>
    <s v="ZONA: CRUZ BLANCA PARTE BAJA"/>
    <n v="922397715"/>
    <n v="43510116"/>
    <s v="F1"/>
  </r>
  <r>
    <n v="371"/>
    <s v="MAGALLANES GARCIA MARITZA"/>
    <s v="TOMA DE CALA CRUZ BLANCA"/>
    <x v="1"/>
    <s v="ZONA: CRUZ BLANCA PARTE BAJA"/>
    <s v="924 757 716"/>
    <n v="43515540"/>
    <s v="F1"/>
  </r>
  <r>
    <n v="372"/>
    <s v="FLORES VALENZUELA MARIA JACKELINE"/>
    <s v="AV. PROGRESO N° 309 - CERCADO DE CHINCHA"/>
    <x v="1"/>
    <s v="ZONA: CHINCHA - PROGRESO"/>
    <s v="955 552 511"/>
    <n v="43550706"/>
    <s v="F1"/>
  </r>
  <r>
    <n v="373"/>
    <s v="ALMEYDA AMORETTI EDGAR"/>
    <s v="AV. PARAISO, PSJ. 17 - LOMO LARGO - SUNAMPE"/>
    <x v="2"/>
    <s v="ZONA: SUNAMPE – PARAISO"/>
    <n v="955618902"/>
    <n v="43560624"/>
    <s v="F1"/>
  </r>
  <r>
    <n v="375"/>
    <s v="AMARO FERNANDEZ CORNEJO LUIS MIGUEL"/>
    <s v="León de vivero mz 3 lt 16- pueblo nuevo"/>
    <x v="0"/>
    <s v="ZONA: PUEBLO - SALVADOR"/>
    <s v="995 389 364"/>
    <n v="43610105"/>
    <s v="F1"/>
  </r>
  <r>
    <n v="376"/>
    <s v="SANTIAGO SARAVIA VICTOR HUGO"/>
    <s v="UPIS DIVIDA MISERICORDIA MZ. B - LT. 06 - SUNAMPE (BALCONCITO)"/>
    <x v="2"/>
    <s v="ZONA: SUNAMPE – VILLA JULIA"/>
    <s v="920 654 635"/>
    <n v="43628022"/>
    <s v="F1"/>
  </r>
  <r>
    <n v="377"/>
    <s v="CESAR MARTIN NAPA PRADO"/>
    <s v="Calle San Blas, Sunampe,  Chincha"/>
    <x v="2"/>
    <s v="ZONA: SUNAMPE – SAN PILPA"/>
    <s v="943 395 596"/>
    <n v="43650440"/>
    <s v="F1"/>
  </r>
  <r>
    <n v="378"/>
    <s v="SARAVIA MENDOZA LIZ AURORA"/>
    <s v="Psj. Nueva Esperanza Lt. 20 - Grocio Prado"/>
    <x v="3"/>
    <s v="ZONA: GROCIO - MEJILLONEROS"/>
    <n v="912649846"/>
    <n v="43656887"/>
    <s v="F1"/>
  </r>
  <r>
    <n v="379"/>
    <s v="MUCHAYPIÑA AGUILAR WILMER OMAR"/>
    <s v="AA.HH. BEATA MELCHORITA MZ. C LT. 05 - PUEBLO NUEVO"/>
    <x v="0"/>
    <s v="ZONA: PUEBLO - SALVADOR"/>
    <n v="997128856"/>
    <n v="43718176"/>
    <s v="F1"/>
  </r>
  <r>
    <n v="381"/>
    <s v="MAGALLANES HERRERA MARITZA"/>
    <s v="PSJ. PRIMAVERA S/N - CRUZ BLANCA - CHINCHA"/>
    <x v="1"/>
    <s v="ZONA: CRUZ BLANCA CAMPO"/>
    <n v="989975830"/>
    <n v="43780022"/>
    <s v="F1"/>
  </r>
  <r>
    <n v="383"/>
    <s v="PEÑA VERA MARIELLA ROSALIA"/>
    <s v="CALLE JUAN CASTILLO RONCEROS S/N - GROCIO PRADO"/>
    <x v="3"/>
    <s v="ZONA: GROCIO - MEJILLONEROS"/>
    <n v="907365864"/>
    <n v="43904616"/>
    <s v="F1"/>
  </r>
  <r>
    <n v="384"/>
    <s v="FELIX GARCIA FLOR MEDALY"/>
    <s v="Av. primavera 722 Sunampe"/>
    <x v="2"/>
    <s v="ZONA: SUNAMPE – SANTA FE"/>
    <n v="976531454"/>
    <n v="43907394"/>
    <s v="F1"/>
  </r>
  <r>
    <n v="385"/>
    <s v="AGUILAR CHUMPITAZ GIOVANA"/>
    <s v="JR. GARCILAZO DE LA VEGA Nº 12 - SECTOR LOS ALAMOS - PUEBLO NUEVO"/>
    <x v="0"/>
    <s v="ZONA: PUEBLO - TECHO PROPIO"/>
    <n v="907525014"/>
    <n v="43949731"/>
    <s v="F1"/>
  </r>
  <r>
    <n v="386"/>
    <s v="SEBASTIAN FLORES DEYCI YOVANA"/>
    <s v="C.P. CONDORILLO ALTO - MZ N - LT. 16 - CHINCHA ALTA"/>
    <x v="1"/>
    <s v="ZONA: CONDORILLO PARTE ALTA"/>
    <n v="955401079"/>
    <n v="43976098"/>
    <s v="F1"/>
  </r>
  <r>
    <n v="387"/>
    <s v="QUISPE PAUCAR SANTA LUCIA EUGENIA"/>
    <s v="CC.PP. NUEVO CONDORILLO - SAN VALENTIN A-1"/>
    <x v="1"/>
    <s v="ZONA: CRUZ BLANCA CAMPO"/>
    <n v="921517689"/>
    <n v="44051352"/>
    <s v="F1"/>
  </r>
  <r>
    <n v="388"/>
    <s v="NAVARRETE QUISPE NELSON NOEL"/>
    <s v="Calle Santa Rosa - Sunampe"/>
    <x v="2"/>
    <s v="ZONA: SUNAMPE – SANTA ROSA"/>
    <n v="986252415"/>
    <n v="44071823"/>
    <s v="F1"/>
  </r>
  <r>
    <n v="389"/>
    <s v="FUENTES CHAVEZ LUIS ARMANDO"/>
    <s v="Calle los Angeles 449 - Lomo Largo"/>
    <x v="2"/>
    <s v="ZONA: SUNAMPE – PARAISO"/>
    <n v="937002689"/>
    <n v="44077389"/>
    <s v="F1"/>
  </r>
  <r>
    <n v="390"/>
    <s v="VILLAVICENCIO SALVADOR MARTIN GUILLERMO"/>
    <s v="Urb. las palmeras F15 Huaca grande"/>
    <x v="2"/>
    <s v="ZONA: SUNAMPE – HUACA GRANDE"/>
    <n v="961616597"/>
    <n v="44080780"/>
    <s v="F1"/>
  </r>
  <r>
    <n v="392"/>
    <s v="PAZ CASAVERDE VANESSA"/>
    <s v="UPIS HUSARES DE JUNIN MZ. E LT. 06 - PUEBLO NUEVO"/>
    <x v="0"/>
    <s v="ZONA: PUEBLO - SALVADOR"/>
    <n v="902226993"/>
    <n v="44136139"/>
    <s v="F1"/>
  </r>
  <r>
    <n v="394"/>
    <s v="BARILLAS PEVE DANIEL CERAFIN"/>
    <s v="CL. SEBASTIAN BARRANCA LOTE Nª 14-C - FUNDO COLORADO - GROCIO PRADO"/>
    <x v="0"/>
    <s v="ZONA: PUEBLO - SALVADOR"/>
    <n v="995029580"/>
    <n v="44176871"/>
    <s v="F1"/>
  </r>
  <r>
    <n v="395"/>
    <s v="TAMANI PACAYA ELITA"/>
    <s v="CARR SUNAMPE NRO. PUERTA 391 B C.P. HUACA GRANDE - SUNAMPE"/>
    <x v="2"/>
    <s v="ZONA: SUNAMPE – SAN IGNACIO"/>
    <n v="934500127"/>
    <n v="44195560"/>
    <s v="F1"/>
  </r>
  <r>
    <n v="396"/>
    <s v="ANTON NAVARRO CINDY ANALI"/>
    <s v="Av. centenario 700"/>
    <x v="3"/>
    <s v="Zona: TechoPropio 2"/>
    <n v="969971167"/>
    <n v="44219860"/>
    <s v="F1"/>
  </r>
  <r>
    <n v="401"/>
    <s v="ALMEYDA AMORETTI YESSYCA"/>
    <s v="AV. PARAISO - LOMO LARGO REF. COSTADO DE LA CAPILLA CACHUY"/>
    <x v="2"/>
    <s v="ZONA: SUNAMPE – PARAISO"/>
    <n v="936761846"/>
    <n v="44321772"/>
    <s v="F1"/>
  </r>
  <r>
    <n v="403"/>
    <s v="CHUMBIAUCA LEVANO LUIS"/>
    <s v="Paso de gomez , empezando huaca grande sunampe"/>
    <x v="2"/>
    <s v="ZONA: SUNAMPE – COLEGIO"/>
    <n v="971054315"/>
    <n v="44338673"/>
    <s v="F1"/>
  </r>
  <r>
    <n v="404"/>
    <s v="MANRIQUE CHUQUISPUMA LUIS WALTER"/>
    <s v="Condorillo Alto Mz O Lt 12"/>
    <x v="1"/>
    <s v="ZONA: CONDORILLO PARTE ALTA"/>
    <n v="961760053"/>
    <n v="44338677"/>
    <s v="F1"/>
  </r>
  <r>
    <n v="405"/>
    <s v="VASQUEZ CHUQUISPUMA RUTH ESTHER"/>
    <s v="CL. SEBASTIAN BARRANCA Nº 3 C-1 - FUNDO COLORADO - GROCIO PRADO"/>
    <x v="0"/>
    <s v="ZONA: PUEBLO - SALVADOR"/>
    <n v="972573295"/>
    <n v="44364538"/>
    <s v="F1"/>
  </r>
  <r>
    <n v="406"/>
    <s v="TORRES SALVADOR FERNANDO"/>
    <s v="PSJE SAN FRANCISCO NRO. PUERTA 176 - C.P. SAN IGNACIO - SUNAMPE"/>
    <x v="2"/>
    <s v="ZONA: SUNAMPE – SAN IGNACIO"/>
    <n v="975067710"/>
    <n v="44411741"/>
    <s v="F1"/>
  </r>
  <r>
    <n v="407"/>
    <s v="VASQUEZ VALENCIA JESUS MARTIN"/>
    <s v="Calle Pedro Ronceros #104"/>
    <x v="1"/>
    <s v="Zona: Chincha"/>
    <n v="934160348"/>
    <n v="44423966"/>
    <s v="F1"/>
  </r>
  <r>
    <n v="408"/>
    <s v="PEREZ ROMERO NELBIS MARIA"/>
    <s v="PSJ. SAN MARTIN - SAN IGNACIO - SUNAMPE"/>
    <x v="2"/>
    <s v="ZONA: SUNAMPE – SAN IGNACIO"/>
    <n v="934453865"/>
    <n v="44483361"/>
    <s v="F1"/>
  </r>
  <r>
    <n v="410"/>
    <s v="BOGA SIGUAS GIANCARLO"/>
    <s v="AA.HH. SAN JUDAS TADEO MZ. E LT. 1 - SUNAMPE"/>
    <x v="2"/>
    <s v="ZONA: SUNAMPE - MINA DE ORO"/>
    <n v="995734338"/>
    <n v="44521340"/>
    <s v="F1"/>
  </r>
  <r>
    <n v="411"/>
    <s v="MARALLANO FLORES CATHERIN JULISSA"/>
    <s v="URB. LEON DE VIVERO MZ. 17 LT. 07 - PUEBLO NUEVO"/>
    <x v="0"/>
    <s v="ZONA: PUEBLO - SALVADOR"/>
    <s v="931 260 639"/>
    <n v="44533511"/>
    <s v="F1"/>
  </r>
  <r>
    <n v="412"/>
    <s v="CHUMBIAUCA ALMEYDA ELIZABETH"/>
    <s v="AV. PRINCIPAL S/N, HUACA GRANDE"/>
    <x v="2"/>
    <s v="ZONA: SUNAMPE – COLEGIO"/>
    <n v="978741188"/>
    <n v="44535961"/>
    <s v="F1"/>
  </r>
  <r>
    <n v="413"/>
    <s v="CALDERON TASAYCO BIANCA FABIOLA"/>
    <s v="AA.HH. VIRGEN DEL CARMEN MZ. C LT.06 - CHINCHA ALTA"/>
    <x v="1"/>
    <s v="ZONA: CRUZ BLANCA VIRGEN CARMEN"/>
    <n v="913598494"/>
    <n v="44545567"/>
    <s v="F1"/>
  </r>
  <r>
    <n v="414"/>
    <s v="TASAYCO DE LA CRUZ PEDRO JUAN"/>
    <s v="AV.FATIMA PASANDO BODEGA VIÑA SAN FRANCISCO"/>
    <x v="2"/>
    <s v="ZONA: SUNAMPE – COLEGIO"/>
    <n v="952911138"/>
    <n v="44570382"/>
    <s v="F1"/>
  </r>
  <r>
    <n v="415"/>
    <s v="MARTINEZ YATACO VERONICA LISSET"/>
    <s v="AA.HH. VIRGEN DEL CARMEN MZ. I LT. 6 - CHINCHA ALTA"/>
    <x v="1"/>
    <s v="ZONA: CRUZ BLANCA VIRGEN CARMEN"/>
    <n v="903045849"/>
    <n v="44591663"/>
    <s v="F1"/>
  </r>
  <r>
    <n v="416"/>
    <s v="GONZALES AQUIJE ANGELINA CAROLINA NATHALY"/>
    <s v="AA.HH. VIRGEN DEL CARMEN MZ. H LT. 02 - CRUZ BLANCA"/>
    <x v="1"/>
    <s v="ZONA: CRUZ BLANCA VIRGEN CARMEN"/>
    <s v="930 595 896"/>
    <n v="44602371"/>
    <s v="F1"/>
  </r>
  <r>
    <n v="417"/>
    <s v="AGUILAR RIVERA NATALY CRISS"/>
    <s v="CL. ALFONSO UGARTE N° 160, SAN PEDRO DE PILPA - SUNAMPE"/>
    <x v="2"/>
    <s v="ZONA: SUNAMPE – SAN PILPA"/>
    <n v="957408746"/>
    <n v="44658446"/>
    <s v="F1"/>
  </r>
  <r>
    <n v="419"/>
    <s v="HERMES LIZANDRO LEON MERCADO"/>
    <s v="AA. HH. LUCIO JUAREZ OCHOA MZ. E - LOTE 01 - PUEBLO NUEVO"/>
    <x v="0"/>
    <s v="ZONA: PUEBLO - SATELITE"/>
    <n v="916729081"/>
    <n v="44732272"/>
    <s v="F1"/>
  </r>
  <r>
    <n v="420"/>
    <s v="DE LA CRUZ CONTRERAS RICHARD JESUS"/>
    <s v="Av.fatima última cuadra , pasando bodega Viña San Francisco"/>
    <x v="2"/>
    <s v="ZONA: SUNAMPE – HUACA GRANDE"/>
    <s v="944 498 166"/>
    <n v="44749019"/>
    <s v="F1"/>
  </r>
  <r>
    <n v="421"/>
    <s v="ALMEYDA NAPA GLORIA"/>
    <s v="AA.HH. VIRGEN DEL CARMEN MZ. B LT. 04 - CHINCHA ALTA"/>
    <x v="1"/>
    <s v="ZONA: CRUZ BLANCA VIRGEN CARMEN"/>
    <s v="942 370 984"/>
    <n v="44771538"/>
    <s v="F1"/>
  </r>
  <r>
    <n v="423"/>
    <s v="ACEVEDO MARTINEZ YOVANA"/>
    <s v="AV. SAN ISIDRO N° 1201 - PUEBLO NUEVO"/>
    <x v="0"/>
    <s v="ZONA: PUEBLO - LAS AMERICAS"/>
    <n v="984607910"/>
    <n v="44818839"/>
    <s v="F1"/>
  </r>
  <r>
    <n v="424"/>
    <s v="MEDINA ATUNCAR ANDY NOEL"/>
    <s v="San Martin 698 - San pedro de pilpa - Sunampe"/>
    <x v="2"/>
    <s v="ZONA: SUNAMPE – SAN PILPA"/>
    <n v="936474324"/>
    <n v="44840113"/>
    <s v="F1"/>
  </r>
  <r>
    <n v="425"/>
    <s v="GUTIERREZ PACHAS CESAR FERNANDO"/>
    <s v="TOMA DE CALA LOTE 11 - CRUZ BLANCA"/>
    <x v="1"/>
    <s v="ZONA: CRUZ BLANCA VIRGEN CARMEN"/>
    <n v="966739081"/>
    <n v="44857660"/>
    <s v="F1"/>
  </r>
  <r>
    <n v="426"/>
    <s v="PEREZ TALLA FABIOLA"/>
    <s v="Calle San José S/N"/>
    <x v="2"/>
    <s v="Zona: Sunampe"/>
    <s v="906 192 714"/>
    <n v="44879432"/>
    <s v="F1"/>
  </r>
  <r>
    <n v="427"/>
    <s v="CASTILLA ALMEYDA EVELYN LISSETE"/>
    <s v="Calle el carmen 107 - Cruz blanca"/>
    <x v="1"/>
    <s v="ZONA: CRUZ BLANCA PARTE BAJA"/>
    <n v="998002707"/>
    <n v="44889335"/>
    <s v="F1"/>
  </r>
  <r>
    <n v="428"/>
    <s v="ROJAS QUISPE KARY DEL ROCIO"/>
    <s v="Calle Santa tereza 281-Sunampe"/>
    <x v="2"/>
    <s v="ZONA: SUNAMPE – CALLE LIMA"/>
    <s v="959 207 013"/>
    <n v="44953237"/>
    <s v="F1"/>
  </r>
  <r>
    <n v="429"/>
    <s v="HUASASQUICHE MAGALLANES MIGUEL"/>
    <s v="Psj Arias S/n - Grocio Prado"/>
    <x v="3"/>
    <s v="Zona: GrocioPrado"/>
    <n v="993440006"/>
    <n v="44960165"/>
    <s v="F1"/>
  </r>
  <r>
    <n v="430"/>
    <s v="NAPA CASTILLA OSCAR JAVIER"/>
    <s v="Calle san pedro de pilpa 256 -02 - Sunampe"/>
    <x v="2"/>
    <s v="ZONA: SUNAMPE – SAN PILPA"/>
    <s v="908 696 006"/>
    <n v="44972815"/>
    <s v="F1"/>
  </r>
  <r>
    <n v="431"/>
    <s v="CORDOVA DE LA CRUZ ABIMAEL FERNANDO"/>
    <s v="AV. SAN RAFEEL SN - GROCIO PRADO"/>
    <x v="2"/>
    <s v="ZONA: SUNAMPE – SAN PILPA"/>
    <n v="971202140"/>
    <n v="45027045"/>
    <s v="F1"/>
  </r>
  <r>
    <n v="432"/>
    <s v="RODRIGUEZ PEÑA PEDRO CLAUDIO ALEJANDRO"/>
    <s v="AV. San ignacio 147 - Sunampe"/>
    <x v="2"/>
    <s v="ZONA: SUNAMPE – SANTA ROSA"/>
    <s v="934 573 535"/>
    <n v="45048639"/>
    <s v="F1"/>
  </r>
  <r>
    <n v="433"/>
    <s v="MESIAS GONZALES DIANA FIORELLA"/>
    <s v="Calle los Próceres Lote 24-Cruz Blanca"/>
    <x v="1"/>
    <s v="ZONA: CRUZ BLANCA PARTE BAJA"/>
    <n v="960544540"/>
    <n v="45082671"/>
    <s v="F1"/>
  </r>
  <r>
    <n v="434"/>
    <s v="CONDEÑA ESPINOZA WALTER AQUILES"/>
    <s v="PSJ. AVALOS Nº 12 - PROGRESO - CHINCHA ALTA"/>
    <x v="1"/>
    <s v="ZONA: CHINCHA - PROGRESO"/>
    <n v="989846043"/>
    <n v="45098503"/>
    <s v="F1"/>
  </r>
  <r>
    <n v="435"/>
    <s v="BENDEZU INCACUTIPA RAUL ALDO"/>
    <s v="AA.HH. BEATA MELCHORITA MZ. H LT. 10 - PUEBLO NUEVO"/>
    <x v="0"/>
    <s v="ZONA: PUEBLO - SALVADOR"/>
    <s v="999 563 187"/>
    <n v="45106081"/>
    <s v="F1"/>
  </r>
  <r>
    <n v="436"/>
    <s v="ROSA QUISPE ROMERO"/>
    <s v="MZNA G NRO. PUERTA 13 AA.HH. CIUDAD SATELITE PUEBLO NUEVO"/>
    <x v="0"/>
    <s v="ZONA: PUEBLO - SATELITE"/>
    <n v="955088823"/>
    <n v="45114263"/>
    <s v="F1"/>
  </r>
  <r>
    <n v="438"/>
    <s v="CHAVEZ MARTINEZ MARTHA MARIA"/>
    <s v="AV. PARAISO MZ C LT 27, LOMO LARGO - SUNAMPE"/>
    <x v="2"/>
    <s v="ZONA: SUNAMPE – PARAISO"/>
    <n v="985192082"/>
    <n v="45123518"/>
    <s v="F1"/>
  </r>
  <r>
    <n v="439"/>
    <s v="CALDERON FLORES NATALI"/>
    <s v="AA.HH 28 DE JULIO MZ. F - LT. 08 - PUEBLO NUEVO"/>
    <x v="0"/>
    <s v="ZONA: PUEBLO - LAS AMERICAS"/>
    <s v="981 279 249"/>
    <n v="45149626"/>
    <s v="F1"/>
  </r>
  <r>
    <n v="440"/>
    <s v="PAUCAR CASTILLON ANGEL GABINO"/>
    <s v="FUNDO COLORADO MZ. C LT.03 - GROCIO PRADO"/>
    <x v="0"/>
    <s v="ZONA: PUEBLO - SALVADOR"/>
    <n v="976317985"/>
    <n v="45200940"/>
    <s v="F1"/>
  </r>
  <r>
    <n v="441"/>
    <s v="GARCIA BAUTISTA MIRIAM LIZET"/>
    <s v="CRUZ BLANCA PSJ SAN MARTIN 55"/>
    <x v="1"/>
    <s v="ZONA: CRUZ BLANCA PARTE BAJA"/>
    <n v="975342591"/>
    <n v="45200955"/>
    <s v="F1"/>
  </r>
  <r>
    <n v="442"/>
    <s v="QUISPE MALDONADO JHONY"/>
    <s v="Psj santa Rosa S/N- Cruz Blanca"/>
    <x v="1"/>
    <s v="ZONA: CRUZ BLANCA PARTE BAJA"/>
    <n v="981696000"/>
    <n v="45204141"/>
    <s v="F1"/>
  </r>
  <r>
    <n v="443"/>
    <s v="VICENTE ARIAS ROSA DELIA"/>
    <s v="C. san juan Grocio Prado"/>
    <x v="3"/>
    <s v="Zona: GrocioPrado"/>
    <n v="923501124"/>
    <n v="45220774"/>
    <s v="F1"/>
  </r>
  <r>
    <n v="445"/>
    <s v="DIAZ REBATTA EDDER RUBEN"/>
    <s v="AA.HH. EL SALVADOR MZ. J - LT. 02 - PUEBLO NUEVO"/>
    <x v="0"/>
    <s v="ZONA: PUEBLO - SALVADOR"/>
    <n v="994323996"/>
    <n v="45252181"/>
    <s v="F1"/>
  </r>
  <r>
    <n v="446"/>
    <s v="CENTENO VALENCIA KARINA ABIGAI"/>
    <s v="URB. LOS VIÑEDOS MZ. F1 - LT. 03 - CHINCHA ALTA"/>
    <x v="0"/>
    <s v="ZONA: PUEBLO - TECHO PROPIO"/>
    <s v="982 904 223"/>
    <n v="45255187"/>
    <s v="F1"/>
  </r>
  <r>
    <n v="448"/>
    <s v="CASTILLA MESIAS LETICIA LISSET"/>
    <s v="PSJ. TUPAC AMARU 166 - CRUZ BLANCA"/>
    <x v="1"/>
    <s v="ZONA: CRUZ BLANCA PARTE ALTA oruro"/>
    <s v="994 479 206"/>
    <n v="45361929"/>
    <s v="F1"/>
  </r>
  <r>
    <n v="451"/>
    <s v="HUAMAN GONZALES JOSE MANUEL"/>
    <s v="Psj. toma de martinez Lt. 1 Virgen del carmen"/>
    <x v="1"/>
    <s v="ZONA: CRUZ BLANCA PARTE BAJA"/>
    <n v="958525363"/>
    <n v="45472467"/>
    <s v="F1"/>
  </r>
  <r>
    <n v="454"/>
    <s v="ROJAS LAPA GINO PERCY"/>
    <s v="RESIDENCIAL SAN PABLO, LT 27 - SUNAMPE (FRENT. GRIFO PRIMAX)"/>
    <x v="2"/>
    <s v="ZONA: SUNAMPE – SAN IGNACIO"/>
    <s v="981 210 264"/>
    <n v="45507136"/>
    <s v="F1"/>
  </r>
  <r>
    <n v="455"/>
    <s v="MOLINA CENTURION MARIA EDITHA"/>
    <s v="CALLE LOS ANGELES 442, LOMO LARGO"/>
    <x v="2"/>
    <s v="ZONA: SUNAMPE – PARAISO"/>
    <n v="958905246"/>
    <n v="45537164"/>
    <s v="F1"/>
  </r>
  <r>
    <n v="457"/>
    <s v="HERRERA MARTINEZ AUGUSTO ALFREDO"/>
    <s v="PSJ. UNION SANTA ROSA - CRUZ BLANCA"/>
    <x v="1"/>
    <s v="ZONA: CRUZ BLANCA CAMPO"/>
    <n v="960468616"/>
    <n v="45669104"/>
    <s v="F1"/>
  </r>
  <r>
    <n v="458"/>
    <s v="TASAYCO ARIAS GREGORIO JHONATHAN"/>
    <s v="C.P. CONDORILLO ALTO MZ. U LT. 01 - CHINCHA ALTA"/>
    <x v="1"/>
    <s v="ZONA: CONDORILLO PARTE BAJA"/>
    <s v="947 700 239"/>
    <n v="45682504"/>
    <s v="F1"/>
  </r>
  <r>
    <n v="459"/>
    <s v="MENDIGUETE ALMEYDA LUIS ALBERTO"/>
    <s v="PANAMERICANA SUR 1769, entrada de parada de los amigos"/>
    <x v="2"/>
    <s v="ZONA: SUNAMPE – SAN PILPA"/>
    <n v="922101351"/>
    <n v="45712101"/>
    <s v="F1"/>
  </r>
  <r>
    <n v="460"/>
    <s v="CARBAJAL SANCHEZ DE MARTINEZ ROSA ERLINDA"/>
    <s v="Calle Parada de los amigos - Sunampe"/>
    <x v="2"/>
    <s v="ZONA: SUNAMPE – SAN PILPA"/>
    <s v="952 567 956"/>
    <n v="45715311"/>
    <s v="F1"/>
  </r>
  <r>
    <n v="461"/>
    <s v="MONTOYA CARDENAS LUIS ENRIQUE"/>
    <s v="Av. Las Nazarenas S/N del Centro Poblado"/>
    <x v="2"/>
    <s v="ZONA: SUNAMPE – HUACA GRANDE"/>
    <n v="989357193"/>
    <n v="45725093"/>
    <s v="F1"/>
  </r>
  <r>
    <n v="462"/>
    <s v="HUAMAN SARAVIA JULIO MARTIN"/>
    <s v="CARRETERA SUNAMPE N° 128, C.P. HUACA GRANDE - SUNAMPE"/>
    <x v="2"/>
    <s v="ZONA: SUNAMPE – SAN IGNACIO"/>
    <s v="993 506 186"/>
    <n v="45747936"/>
    <s v="F1"/>
  </r>
  <r>
    <n v="463"/>
    <s v="ALFONSO HUAMAN YOEL ALFREDO"/>
    <s v="PSJ. JORGE CHAVEZ S/N - SUNAMPE"/>
    <x v="2"/>
    <s v="ZONA: SUNAMPE - MINA DE ORO"/>
    <n v="942635751"/>
    <n v="45751439"/>
    <s v="F1"/>
  </r>
  <r>
    <n v="464"/>
    <s v="BRICEÑO DEL RIO FREDY JHON"/>
    <s v="C.P. CONDORILLO ALTO MZ. P LT. 15 - CHINCHA ALTA"/>
    <x v="1"/>
    <s v="ZONA: CRUZ BLANCA PARTE BAJA"/>
    <s v="934 845 612"/>
    <n v="45778769"/>
    <s v="F1"/>
  </r>
  <r>
    <n v="466"/>
    <s v="DE LA CRUZ LEVANO FIORELLA DAMARI"/>
    <s v="espalda del habana club - Sunampe"/>
    <x v="2"/>
    <s v="ZONA: SUNAMPE – COLEGIO"/>
    <n v="916435601"/>
    <n v="45828199"/>
    <s v="F1"/>
  </r>
  <r>
    <n v="468"/>
    <s v="MATOS MENESES EVELYN YURISAN"/>
    <s v="CALLE MUELLE Nº217 - TAMBO DE MORA"/>
    <x v="4"/>
    <s v="Zona: Tambo de Mora 2"/>
    <n v="907855329"/>
    <n v="45841421"/>
    <s v="F1"/>
  </r>
  <r>
    <n v="469"/>
    <s v="GALINDO SALAS LIZET"/>
    <s v="Calle Parada de los amigos - Psj Villa - Sunampe"/>
    <x v="2"/>
    <s v="ZONA: SUNAMPE – SAN PILPA"/>
    <n v="972841510"/>
    <n v="45851431"/>
    <s v="F1"/>
  </r>
  <r>
    <n v="470"/>
    <s v="DE LA CRUZ JACOBO JULIO CESAR"/>
    <s v="AV. PRIMAVERA N° 300 - SUNAMPE"/>
    <x v="2"/>
    <s v="ZONA: SUNAMPE – CALLE LIMA"/>
    <s v="902 575 234"/>
    <n v="45852739"/>
    <s v="F1"/>
  </r>
  <r>
    <n v="471"/>
    <s v="LLIUYA CHUQUISPUMA MARIA ESTHER"/>
    <s v="Condorillo alto Mz. J lt. 11"/>
    <x v="1"/>
    <s v="ZONA: CONDORILLO PARTE BAJA"/>
    <s v="986 103 238"/>
    <n v="45879381"/>
    <s v="F1"/>
  </r>
  <r>
    <n v="472"/>
    <s v="ROJAS TORNERO ENERT JOEL"/>
    <s v="AV. ALFONSO UGARTE Nº 140 - CERCADO DE SUNAMPE"/>
    <x v="2"/>
    <s v="ZONA: SUNAMPE – SIMON"/>
    <n v="956646869"/>
    <n v="45900579"/>
    <s v="F1"/>
  </r>
  <r>
    <n v="475"/>
    <s v="CRISOSTOMO CAMPOS RAUL"/>
    <s v="Av. emancipacion SUNAMPE S/N"/>
    <x v="2"/>
    <s v="ZONA: SUNAMPE – COLEGIO"/>
    <n v="963964118"/>
    <n v="46096445"/>
    <s v="F1"/>
  </r>
  <r>
    <n v="476"/>
    <s v="AVALOS MUÑOZ CYNTHIA MARIBEL"/>
    <s v="Av.melchorita 506 - grocio prado"/>
    <x v="3"/>
    <s v="ZONA: GROCIO - EL PORVENIR"/>
    <n v="998980535"/>
    <n v="46113663"/>
    <s v="F1"/>
  </r>
  <r>
    <n v="477"/>
    <s v="YATACO VELASQUEZ ANGEL DOMINGO"/>
    <s v="AV. SANTO TOMAS N109 - CHINCHA ALTA"/>
    <x v="2"/>
    <s v="ZONA: SUNAMPE - MINA DE ORO"/>
    <n v="906144833"/>
    <n v="46145068"/>
    <s v="F1"/>
  </r>
  <r>
    <n v="479"/>
    <s v="MAGALLANES CRISOSTOMO KATHERIN CINTHIA"/>
    <s v="PSJ DE LA CRUZ MATIAS - LOMO LARGO - SUNAMPE"/>
    <x v="2"/>
    <s v="ZONA: SUNAMPE – PARAISO"/>
    <n v="902642312"/>
    <n v="46175442"/>
    <s v="F1"/>
  </r>
  <r>
    <n v="481"/>
    <s v="MAMANI GUTIERREZ MARIA ALEJANDRA"/>
    <s v="CALLE JORGE CHAVEZ MZ. C LT. 24, CHACARITA - SUNAMPE"/>
    <x v="2"/>
    <s v="ZONA: SUNAMPE – CHACARITA"/>
    <n v="974458138"/>
    <n v="46237598"/>
    <s v="F1"/>
  </r>
  <r>
    <n v="482"/>
    <s v="PACHAS DIAZ DAVID ERNESTO"/>
    <s v="Psj. 2 de mayo - Cruz blanca"/>
    <x v="1"/>
    <s v="ZONA: CRUZ BLANCA PARTE ALTA oruro"/>
    <n v="956022078"/>
    <n v="46250661"/>
    <s v="F1"/>
  </r>
  <r>
    <n v="483"/>
    <s v="TORRES ROMAN KATHERINE MILAGROS"/>
    <s v="Av. Huascar 130 San IGNACIO"/>
    <x v="2"/>
    <s v="ZONA: SUNAMPE – SAN IGNACIO"/>
    <n v="938358973"/>
    <n v="46294714"/>
    <s v="F1"/>
  </r>
  <r>
    <n v="484"/>
    <s v="MATIAS ALMEYDA MIGUEL ANGEL"/>
    <s v="Calle las lomas  - La Victoria Sunampe"/>
    <x v="2"/>
    <s v="ZONA: SUNAMPE – CALLE LIMA"/>
    <n v="908537121"/>
    <n v="46363463"/>
    <s v="F1"/>
  </r>
  <r>
    <n v="486"/>
    <s v="MANRIQUE GUERRA JOSE JOEL"/>
    <s v="C.P. CONDORILLO ALTO MZ J LT 02 - CHICHA"/>
    <x v="1"/>
    <s v="ZONA: CONDORILLO PARTE BAJA"/>
    <s v="902 288 927"/>
    <n v="46411847"/>
    <s v="F1"/>
  </r>
  <r>
    <n v="487"/>
    <s v="RUIZ CLAVIJO PAOLA"/>
    <s v="URB. SAN ANTONIO Nº 127 - CERCADO SUNAMPE"/>
    <x v="2"/>
    <s v="ZONA: SUNAMPE – CALLE LIMA"/>
    <n v="974897863"/>
    <n v="46416248"/>
    <s v="F1"/>
  </r>
  <r>
    <n v="488"/>
    <s v="DE LA CRUZ TASAYCO GILBERTO"/>
    <s v="PSJ. JOSE OLAYA N° 899 46 - CERCADO DE CHINCHA ALTA"/>
    <x v="1"/>
    <s v="ZONA: CHINCHA - AMERICA"/>
    <n v="992863041"/>
    <n v="46496820"/>
    <s v="F1"/>
  </r>
  <r>
    <n v="489"/>
    <s v="SARAVIA YATACO MARIA ELISETH"/>
    <s v="CL. NUEVA ESPERANZA LT. 29, BARRIO MELCHORITA II - GROCIO PRADO"/>
    <x v="3"/>
    <s v="ZONA: GROCIO - MEJILLONEROS"/>
    <n v="922424182"/>
    <n v="46614328"/>
    <s v="F1"/>
  </r>
  <r>
    <n v="490"/>
    <s v="ALMEYDA MAGALLANES ALEJANDRO"/>
    <s v="PSJE 17 Nro. Puerta 131 Sin Barrio C.P. Lomo Largo , SUNAMPE"/>
    <x v="2"/>
    <s v="ZONA: SUNAMPE – PARAISO"/>
    <n v="981557714"/>
    <n v="46657184"/>
    <s v="F1"/>
  </r>
  <r>
    <n v="491"/>
    <s v="SANCHEZ ALMEYDA WILLIAM ARMANDO"/>
    <s v="Av. Paraiso - Lomo largo - Sunampe"/>
    <x v="2"/>
    <s v="ZONA: SUNAMPE – PARAISO"/>
    <s v="930 999 115"/>
    <n v="46690623"/>
    <s v="F1"/>
  </r>
  <r>
    <n v="492"/>
    <s v="ROMERO ROJAS JOHANNY CAROLINA"/>
    <s v="Calle San Blas 440 - San Pedro de Pilpa"/>
    <x v="2"/>
    <s v="ZONA: SUNAMPE – SAN PILPA"/>
    <n v="977693143"/>
    <n v="46698006"/>
    <s v="F1"/>
  </r>
  <r>
    <n v="493"/>
    <s v="MENDOZA YATACO CYNTHIA NATALY"/>
    <s v="Pasaje Santo Domingo 102 -Santo Toribio- Sunampe"/>
    <x v="2"/>
    <s v="ZONA: SUNAMPE – SAN PILPA"/>
    <n v="958172010"/>
    <n v="46699310"/>
    <s v="F1"/>
  </r>
  <r>
    <n v="494"/>
    <s v="TORRES SANCHEZ HUGO ALBERTO"/>
    <s v="CALLE SANTA ROSA #355  PRIMERA ENTRADA - SUNAMPE"/>
    <x v="2"/>
    <s v="ZONA: SUNAMPE – SAN IGNACIO"/>
    <n v="944323513"/>
    <n v="46865852"/>
    <s v="F1"/>
  </r>
  <r>
    <n v="495"/>
    <s v="DE LA CRUZ ABREGU GIAN CARLOS"/>
    <s v="AV ALVA MAUTUA PUERTA 627-B - CRUZ BLANCA"/>
    <x v="1"/>
    <s v="ZONA: CRUZ BLANCA PARTE ALTA oruro"/>
    <n v="924144569"/>
    <n v="46869547"/>
    <s v="F1"/>
  </r>
  <r>
    <n v="496"/>
    <s v="CARBAJAL CASIANO NATHALY ROSSIEL"/>
    <s v="Psj. 2 de Mayo 285- Cruz Blanca"/>
    <x v="1"/>
    <s v="ZONA: CRUZ BLANCA PARTE BAJA"/>
    <n v="916486489"/>
    <n v="46927424"/>
    <s v="F1"/>
  </r>
  <r>
    <n v="497"/>
    <s v="TORRES TASAYCO CARLOS EDUARDO"/>
    <s v="PSJE SANTA ROSA Nro. Puerta 128 Cruz Blanca CHINCHA ALTA"/>
    <x v="1"/>
    <s v="ZONA: CRUZ BLANCA PARTE ALTA oruro"/>
    <n v="972287862"/>
    <n v="46928659"/>
    <s v="F1"/>
  </r>
  <r>
    <n v="498"/>
    <s v="YATACO NAVARRETE MARIA JULIA"/>
    <s v="AV. HUASCAR - SAN IGNACIO"/>
    <x v="2"/>
    <s v="ZONA: SUNAMPE – SAN IGNACIO"/>
    <n v="937602720"/>
    <n v="46932240"/>
    <s v="F1"/>
  </r>
  <r>
    <n v="500"/>
    <s v="SOTO NAPA OSWALDO GUSTAVO"/>
    <s v="Av. San Cristobal 155- San Ignacio-Sunampe"/>
    <x v="2"/>
    <s v="ZONA: SUNAMPE – VILLA JULIA"/>
    <n v="921574409"/>
    <n v="46952075"/>
    <s v="F1"/>
  </r>
  <r>
    <n v="501"/>
    <s v="CHAVEZ NEYRA VICTOR EUSEBIO"/>
    <s v="AV. PROGRESO N398 - INT 10 - CONDORILLO"/>
    <x v="1"/>
    <s v="ZONA: CHINCHA - PROGRESO"/>
    <s v="969 187 145"/>
    <n v="46956509"/>
    <s v="F1"/>
  </r>
  <r>
    <n v="502"/>
    <s v="DE LA CRUZ MESIAS ALEX GABRIEL"/>
    <s v="Av Alva Maurtua 144 Cruz blanca"/>
    <x v="1"/>
    <s v="ZONA: CRUZ BLANCA PARTE BAJA"/>
    <n v="955737034"/>
    <n v="46981135"/>
    <s v="F1"/>
  </r>
  <r>
    <n v="503"/>
    <s v="GERSON GONZALES HERRERA"/>
    <s v="PSJ GONZALES PRADA NRO. 208 - CRUZ BLANCA - CHINCHA ALTA"/>
    <x v="1"/>
    <s v="ZONA: CONDORILLO PARTE ALTA"/>
    <n v="947403872"/>
    <n v="46981139"/>
    <s v="F1"/>
  </r>
  <r>
    <n v="504"/>
    <s v="LEON AVALOS JOSE LUIS"/>
    <s v="Entrada de borques .s/n chacarita"/>
    <x v="2"/>
    <s v="ZONA: SUNAMPE – CHACARITA"/>
    <n v="912863678"/>
    <n v="46996225"/>
    <s v="F1"/>
  </r>
  <r>
    <n v="505"/>
    <s v="LOPEZ MAMANI RENE"/>
    <s v="Carretera panamericana sur Nro. 275"/>
    <x v="1"/>
    <s v="Zona: Chincha"/>
    <n v="913079273"/>
    <n v="47071800"/>
    <s v="F1"/>
  </r>
  <r>
    <n v="506"/>
    <s v="ALMEYDA DE LA CRUZ JHONY JAVIER"/>
    <s v="psj. Santa Angela lt. 05 Cruz Blanca"/>
    <x v="1"/>
    <s v="ZONA: CRUZ BLANCA VIRGEN CARMEN"/>
    <n v="947398631"/>
    <n v="47123327"/>
    <s v="F1"/>
  </r>
  <r>
    <n v="507"/>
    <s v="BAUTISTA TAYPE JOEL ANGEL"/>
    <s v="PSJ. JOSE OLAYA MZ. Q - LT 03 - CHINCHA ALTA"/>
    <x v="1"/>
    <s v="ZONA: CHINCHA - AMERICA"/>
    <s v="904 370 223"/>
    <n v="47140229"/>
    <s v="F1"/>
  </r>
  <r>
    <n v="508"/>
    <s v="GIRAO ATUNCAR LUIS CARLOS"/>
    <s v="PASAJE SANTA ROSA 130 - 01  SUNAMPE"/>
    <x v="2"/>
    <s v="ZONA: SUNAMPE – SAN PILPA"/>
    <n v="923311111"/>
    <n v="47144583"/>
    <s v="F1"/>
  </r>
  <r>
    <n v="509"/>
    <s v="GARCIA CASTILLA JUAN JOSE"/>
    <s v="Av. Arenal s/n Lote 24 02- Cruz Blanca"/>
    <x v="1"/>
    <s v="ZONA: CRUZ BLANCA PARTE BAJA"/>
    <n v="977787595"/>
    <n v="47163450"/>
    <s v="F1"/>
  </r>
  <r>
    <n v="510"/>
    <s v="LOYOLA RAMOS MARTIN"/>
    <s v="AV. PARAISO OESTE 317 - LOMO LARGO - SUNAMPE"/>
    <x v="2"/>
    <s v="ZONA: SUNAMPE – PARAISO"/>
    <n v="977321025"/>
    <n v="47259336"/>
    <s v="F1"/>
  </r>
  <r>
    <n v="512"/>
    <s v="PEÑA SOTO KATERINNE LIZETH"/>
    <s v="Calle Nueva Esperanza Mz. A Lt. 12 -Grocio Prado"/>
    <x v="3"/>
    <s v="ZONA: GROCIO - MEJILLONEROS"/>
    <n v="936691447"/>
    <n v="47353719"/>
    <s v="F1"/>
  </r>
  <r>
    <n v="514"/>
    <s v="MENDOZA ALMEYDA VICTOR JEAN PIERRE"/>
    <s v="AV. FATIMA 1 LT. 03 - SUNAMPE"/>
    <x v="2"/>
    <s v="ZONA: SUNAMPE – COLEGIO"/>
    <s v="943 899 710"/>
    <n v="47501937"/>
    <s v="F1"/>
  </r>
  <r>
    <n v="515"/>
    <s v="LOYOLA SARAVIA ROBERTO CARLOS"/>
    <s v="Parada de los Amigos Pasaje Renovacion - Sunampe"/>
    <x v="2"/>
    <s v="ZONA: SUNAMPE – SAN PILPA"/>
    <n v="958995170"/>
    <n v="47516353"/>
    <s v="F1"/>
  </r>
  <r>
    <n v="516"/>
    <s v="TORRES BARRIOS DANIEL GERARDO"/>
    <s v="HUACA GRANDE - SUNAMPE"/>
    <x v="2"/>
    <s v="ZONA: SUNAMPE – HUACA GRANDE"/>
    <n v="996285735"/>
    <n v="47519367"/>
    <s v="F1"/>
  </r>
  <r>
    <n v="519"/>
    <s v="LLANOS CHUQUISPUMA JESUS ALBERTO"/>
    <s v="condorillo alto S/N antes del colegio"/>
    <x v="1"/>
    <s v="ZONA: CONDORILLO PARTE ALTA"/>
    <n v="982321816"/>
    <n v="47711960"/>
    <s v="F1"/>
  </r>
  <r>
    <n v="520"/>
    <s v="HUAMAN QUISPE FLORIANO GEANNENE"/>
    <s v="San Agustin"/>
    <x v="0"/>
    <s v="Zona: Rosedal"/>
    <n v="983963808"/>
    <n v="47750177"/>
    <s v="F1"/>
  </r>
  <r>
    <n v="521"/>
    <s v="ATUNCAR MARQUEZ HAROLD EDUARDO"/>
    <s v="AV. LAS VIÑAS EMANCIPACIÓN N° 500 INT. 12 - SUNAMPE (REF. HOSP. CESAR)"/>
    <x v="2"/>
    <s v="ZONA: SUNAMPE – COLEGIO"/>
    <n v="950545744"/>
    <n v="47841679"/>
    <s v="F1"/>
  </r>
  <r>
    <n v="522"/>
    <s v="ANCHANTE RICALES ROBERTO CARLOS"/>
    <s v="CL. SAN MARTIN Nª 103 - CHACARITA - SUNAMPE"/>
    <x v="2"/>
    <s v="ZONA: SUNAMPE – CHACARITA"/>
    <n v="935252637"/>
    <n v="47934103"/>
    <s v="F1"/>
  </r>
  <r>
    <n v="523"/>
    <s v="MATEO CABRERA LOURDES ISABEL"/>
    <s v="Av. garcilazo de la vega 470-Sunampe"/>
    <x v="2"/>
    <s v="ZONA: SUNAMPE - MINA DE ORO"/>
    <n v="959932272"/>
    <n v="48014534"/>
    <s v="F1"/>
  </r>
  <r>
    <n v="524"/>
    <s v="MATIAS CRISOSTOMO ANGEL ALBERTO"/>
    <s v="AV. PARAISO LT. 5-B - C.P. PARAISO - SUNAMPE"/>
    <x v="2"/>
    <s v="ZONA: SUNAMPE – PARAISO"/>
    <s v="933 241 678"/>
    <n v="48040901"/>
    <s v="F1"/>
  </r>
  <r>
    <n v="525"/>
    <s v="APOLAYA ROMERO NELZI KATHERINY"/>
    <s v="PROLG. BENAVIDES LT. 30 - GROCIO PRADO"/>
    <x v="3"/>
    <s v="ZONA: GROCIO - MEJILLONEROS"/>
    <s v="922 693 855"/>
    <n v="48222293"/>
    <s v="F1"/>
  </r>
  <r>
    <n v="528"/>
    <s v="PADILLA ACEVEDO ARALI NERIDA"/>
    <s v="Calle santa angela, frente al mega mercado - Cruz Blanca"/>
    <x v="1"/>
    <s v="ZONA: CRUZ BLANCA VIRGEN CARMEN"/>
    <n v="997216682"/>
    <n v="48477799"/>
    <s v="F1"/>
  </r>
  <r>
    <n v="529"/>
    <s v="SOTELO RAMOS WILLIAN ALEXANDER"/>
    <s v="PSJE SAN MIGUEL MZ B LOTE 22, BARRIO CHACARITA - SUNAMPE"/>
    <x v="2"/>
    <s v="ZONA: SUNAMPE – CHACARITA"/>
    <n v="922095735"/>
    <n v="48510379"/>
    <s v="F1"/>
  </r>
  <r>
    <n v="530"/>
    <s v="MARTINEZ DE LA CRUZ RICHARD ANTHONY"/>
    <s v="SAN PEDRO DE PILPA S/N - SUNAMPE"/>
    <x v="2"/>
    <s v="ZONA: SUNAMPE – SAN PILPA"/>
    <s v="946 489 470"/>
    <n v="48591427"/>
    <s v="F1"/>
  </r>
  <r>
    <n v="531"/>
    <s v="ATUNCAR ROJAS MARIA LUISA"/>
    <s v="PILPA PASANDO LA CAPILLA"/>
    <x v="2"/>
    <s v="ZONA: SUNAMPE – SAN PILPA"/>
    <n v="923455593"/>
    <n v="48615183"/>
    <s v="F1"/>
  </r>
  <r>
    <n v="532"/>
    <s v="GUEVARA ORTIZ KARLA MELISSA"/>
    <s v="A.A.H.H NUEVO SAN VALENTIN B15"/>
    <x v="1"/>
    <s v="ZONA: CRUZ BLANCA CAMPO"/>
    <n v="921841005"/>
    <n v="48674029"/>
    <s v="F1"/>
  </r>
  <r>
    <n v="533"/>
    <s v="RIOJAS PEREZ CATHERINE YAJAYRA"/>
    <s v="Nuevo san valentin S/N -Nuevo Condorillo Bajo"/>
    <x v="1"/>
    <s v="ZONA: CRUZ BLANCA CAMPO"/>
    <n v="955295107"/>
    <n v="48947197"/>
    <s v="F1"/>
  </r>
  <r>
    <n v="534"/>
    <s v="PEREZ TERRONES GRETY"/>
    <s v="CL. MINA DE ORO Nª 06, C.P. MINA DE ORO - SUNAMPE"/>
    <x v="2"/>
    <s v="ZONA: SUNAMPE - MINA DE ORO"/>
    <s v="912 143 217"/>
    <n v="60454449"/>
    <s v="F1"/>
  </r>
  <r>
    <n v="535"/>
    <s v="MARTINEZ LUIS NEYRA LESLIE"/>
    <s v="Nuevo condorillo, san valentin B. 16"/>
    <x v="1"/>
    <s v="ZONA: CRUZ BLANCA CAMPO"/>
    <n v="935267119"/>
    <n v="60610091"/>
    <s v="F1"/>
  </r>
  <r>
    <n v="536"/>
    <s v="MAGALLANES APOLAYA JULIANA HAYDEE"/>
    <s v="Centro Poblado Mina de Oro Mz B Lote 6 Ref: Estadio de Mina de oro"/>
    <x v="2"/>
    <s v="ZONA: SUNAMPE - MINA DE ORO"/>
    <n v="986716266"/>
    <n v="60752783"/>
    <s v="F1"/>
  </r>
  <r>
    <n v="537"/>
    <s v="DAGA MENDOZA WALTER JESUS"/>
    <s v="PSJ. SANTA ANGELA, FRENTE AL MEGA MERCADO - CRUZ BLANCA"/>
    <x v="1"/>
    <s v="ZONA: CRUZ BLANCA VIRGEN CARMEN"/>
    <n v="970991577"/>
    <n v="61298144"/>
    <s v="F1"/>
  </r>
  <r>
    <n v="538"/>
    <s v="CHIQUILLAN CUYA MAYUMI GLADYS ZADITH"/>
    <s v="Pasaje beata melchorita-Cruz blanca Ref: Por el colegio 22234 a la mano derecha al fondo"/>
    <x v="1"/>
    <s v="ZONA: CRUZ BLANCA PARTE ALTA oruro"/>
    <s v="918 893 400"/>
    <n v="61577404"/>
    <s v="F1"/>
  </r>
  <r>
    <n v="541"/>
    <s v="MOSCAYZA PEREZ JEREMI POOL"/>
    <s v="Pasaje Villa, parada de los amigos 195"/>
    <x v="2"/>
    <s v="ZONA: SUNAMPE – SAN PILPA"/>
    <n v="997310787"/>
    <n v="62723842"/>
    <s v="F1"/>
  </r>
  <r>
    <n v="542"/>
    <s v="ALVAREZ CHUQUISPUMA JHAN MARTIN"/>
    <s v="C.P. CONDORILLO ALTO MZ. N LT. 15 - CHINCHA"/>
    <x v="1"/>
    <s v="ZONA: CONDORILLO PARTE BAJA"/>
    <s v="924 702 432"/>
    <n v="62892038"/>
    <s v="F1"/>
  </r>
  <r>
    <n v="543"/>
    <s v="VILLA SARAVIA MARIA GLADYS"/>
    <s v="PSJE VILLA S/N-PARADA DE LOS AMIGOS GROCIO PRADO REF: pasando la capilla"/>
    <x v="2"/>
    <s v="ZONA: SUNAMPE – SAN PILPA"/>
    <n v="925452697"/>
    <n v="70051105"/>
    <s v="F1"/>
  </r>
  <r>
    <n v="544"/>
    <s v="TASAYCO PEÑALOZA MIGUEL ANGEL"/>
    <s v="Nuevo San Valentin, invasion de condorillo"/>
    <x v="1"/>
    <s v="ZONA: CRUZ BLANCA CAMPO"/>
    <n v="912209926"/>
    <n v="70051411"/>
    <s v="F1"/>
  </r>
  <r>
    <n v="545"/>
    <s v="YATACO MAGALLANES MILAGROS MARCELA"/>
    <s v="A.A.H.H NUEVO SAN VALENTIN - PRIMERA ENTRADA"/>
    <x v="1"/>
    <s v="ZONA: CRUZ BLANCA CAMPO"/>
    <n v="912363109"/>
    <n v="70098756"/>
    <s v="F1"/>
  </r>
  <r>
    <n v="546"/>
    <s v="VILLA MAGALLANES CARMEN RUBI"/>
    <s v="Calle Sebastián Barranca S/N - Cruz Blanca"/>
    <x v="1"/>
    <s v="ZONA: CRUZ BLANCA PARTE BAJA"/>
    <n v="943076964"/>
    <n v="70099633"/>
    <s v="F1"/>
  </r>
  <r>
    <n v="549"/>
    <s v="PACHAS YATACO MIRTHA YESENIA"/>
    <s v="AV. SANTA ROSA S/N (SEGUNDA ENTRADA) - SUNAMPE"/>
    <x v="2"/>
    <s v="ZONA: SUNAMPE – SANTA ROSA"/>
    <n v="920787827"/>
    <n v="70249186"/>
    <s v="F1"/>
  </r>
  <r>
    <n v="550"/>
    <s v="VELASQUEZ CONDORI ELVIS AMILCAR"/>
    <s v="AV. UNION NRO 109 - C.P. SANTA ROSA (CRUZ BLANCA) - CHINCHA ALTA"/>
    <x v="1"/>
    <s v="ZONA: CRUZ BLANCA VIRGEN CARMEN"/>
    <s v="940 583 772"/>
    <n v="70249354"/>
    <s v="F1"/>
  </r>
  <r>
    <n v="552"/>
    <s v="MAGALLANES SALVADOR VICTOR ALEXIS"/>
    <s v="Psj. Jose Olaya ex pilpa"/>
    <x v="1"/>
    <s v="ZONA: CRUZ BLANCA VIRGEN CARMEN"/>
    <s v="993 189 596"/>
    <n v="70312109"/>
    <s v="F1"/>
  </r>
  <r>
    <n v="553"/>
    <s v="MAGALLANES GARCIA LUZ MARLENY"/>
    <s v="Ulises San Valentín manzana Gn Lote 4- Condorillo"/>
    <x v="1"/>
    <s v="ZONA: CRUZ BLANCA CAMPO"/>
    <n v="972016952"/>
    <n v="70312540"/>
    <s v="F1"/>
  </r>
  <r>
    <n v="554"/>
    <s v="RAMOS ALMEYDA ROCIO BEATRIZ"/>
    <s v="CL. MIGUEL GRAU LOTE MZ. M - LT. 11 - C.P. LOMO LARGO - SUNAMPE"/>
    <x v="2"/>
    <s v="ZONA: SUNAMPE – PARAISO"/>
    <s v="962 120 170"/>
    <n v="70312599"/>
    <s v="F1"/>
  </r>
  <r>
    <n v="557"/>
    <s v="GARCIA YATACO RONALD STALIN"/>
    <s v="BARRIO EL PORVENIR MZ E LOTE 19 - GROCIO PRADO"/>
    <x v="3"/>
    <s v="ZONA: GROCIO - EL PORVENIR"/>
    <n v="954642849"/>
    <n v="70365628"/>
    <s v="F1"/>
  </r>
  <r>
    <n v="558"/>
    <s v="MESIAS TORRES MIRIAM MARLENI"/>
    <s v="Psj. Napa S/N - Cruz Blanca"/>
    <x v="1"/>
    <s v="ZONA: CRUZ BLANCA VIRGEN CARMEN"/>
    <n v="923160732"/>
    <n v="70365697"/>
    <s v="F1"/>
  </r>
  <r>
    <n v="559"/>
    <s v="SEBASTIAN SARAVIA JUNIOR RAFAEL"/>
    <s v="Av. Alva Maurtua 514 - Cruz Blanca"/>
    <x v="1"/>
    <s v="ZONA: CRUZ BLANCA PARTE ALTA oruro"/>
    <n v="968246931"/>
    <n v="70366439"/>
    <s v="F1"/>
  </r>
  <r>
    <n v="560"/>
    <s v="TORRES LUJAN ALEJANDRO JUNIOR"/>
    <s v="AV. SAN CRISTOBAL N196, VILLA JULIA - SUNAMPE"/>
    <x v="2"/>
    <s v="ZONA: SUNAMPE – VILLA JULIA"/>
    <s v="967 858 313"/>
    <n v="70394563"/>
    <s v="F1"/>
  </r>
  <r>
    <n v="561"/>
    <s v="SOTELO DE LA CRUZ JANPOOL ALEXANDRO"/>
    <s v="PSJ EL ANGEL S/N - CERCADO CHINCHA ALTA"/>
    <x v="2"/>
    <s v="ZONA: SUNAMPE – VILLA JULIA"/>
    <n v="988638758"/>
    <n v="70394627"/>
    <s v="F1"/>
  </r>
  <r>
    <n v="562"/>
    <s v="VILLA CASTILLA NANCY"/>
    <s v="Calle San Vicente ferrer 300 - Int. 10 - Sunampe"/>
    <x v="2"/>
    <s v="ZONA: SUNAMPE – SAN PILPA"/>
    <n v="947151746"/>
    <n v="70401918"/>
    <s v="F1"/>
  </r>
  <r>
    <n v="563"/>
    <s v="SOTELO MATTA GUISELLA ESPERANZA"/>
    <s v="PSJ. ANDRES AVELINO CACERES 137, SANTA ROSA - SUNAMPE"/>
    <x v="2"/>
    <s v="ZONA: SUNAMPE – SANTA ROSA"/>
    <n v="929564075"/>
    <n v="70401928"/>
    <s v="F1"/>
  </r>
  <r>
    <n v="564"/>
    <s v="DE LOS RIOS PINEDO CRISTHIAN ALEXIS"/>
    <s v="AV. DOS DE MAYO N°127 - TAMBO DE MORA"/>
    <x v="4"/>
    <s v="Zona: Tambo de Mora 2"/>
    <s v="977 408 606"/>
    <n v="70460220"/>
    <s v="F1"/>
  </r>
  <r>
    <n v="565"/>
    <s v="PINEDO FELIPA JEREMY TOBARIS"/>
    <s v="NUEVO TAMBO DE MORA MZ. E3 LT 37"/>
    <x v="4"/>
    <s v="Zona: Tambo de Mora 1"/>
    <n v="970559726"/>
    <n v="70460727"/>
    <s v="F1"/>
  </r>
  <r>
    <n v="566"/>
    <s v="ROJAS ALMEYDA MARTIN ARMANDO"/>
    <s v="CALLE LOS PALTOS N°117,  LOMO LARGO - SUNAMPE"/>
    <x v="2"/>
    <s v="ZONA: SUNAMPE – SAN PILPA"/>
    <s v="927 796 090"/>
    <n v="70480530"/>
    <s v="F1"/>
  </r>
  <r>
    <n v="567"/>
    <s v="VASQUEZ ZAPATA JESSICA KATHERINE"/>
    <s v="AV. LA MAR N° 468 - LOMO LARGO - SUNAMPE"/>
    <x v="2"/>
    <s v="ZONA: SUNAMPE – PARAISO"/>
    <s v="956 271 875"/>
    <n v="70482572"/>
    <s v="F1"/>
  </r>
  <r>
    <n v="568"/>
    <s v="VASQUEZ VASQUEZ LUISA BRILLYD"/>
    <s v="JR. LOS MARTINES N° 222 - SAN ISIDRO - PUEBLO NUEVO"/>
    <x v="0"/>
    <s v="ZONA: PUEBLO - LAS AMERICAS"/>
    <s v="969 994 573"/>
    <n v="70507481"/>
    <s v="F1"/>
  </r>
  <r>
    <n v="569"/>
    <s v="ABREGU MAGALLANES FERNANDO ALEXANDER"/>
    <s v="Psj. Santa Rosa - Cruz Blanca - Oruro parte Alta"/>
    <x v="1"/>
    <s v="ZONA: CRUZ BLANCA PARTE ALTA oruro"/>
    <n v="921393880"/>
    <n v="70605584"/>
    <s v="F1"/>
  </r>
  <r>
    <n v="570"/>
    <s v="GARCIA OCHOA ERICK MIGUEL"/>
    <s v="AA.HH. VIRGEN DEL CARMEN MZ. F LT. 10, CRUZ BLANCA - CHINCHA"/>
    <x v="1"/>
    <s v="ZONA: CRUZ BLANCA VIRGEN CARMEN"/>
    <n v="902257913"/>
    <n v="70746467"/>
    <s v="F1"/>
  </r>
  <r>
    <n v="571"/>
    <s v="ATUNCAR ALMEYDA DIEGO ALFONSO"/>
    <s v="UR. PAGO DE PILPATOMA DE GONZALES MZ. SN LT. 2-1 - SUNAMPE - CHINCHA"/>
    <x v="2"/>
    <s v="ZONA: SUNAMPE – SAN IGNACIO"/>
    <n v="949792659"/>
    <n v="71440787"/>
    <s v="F1"/>
  </r>
  <r>
    <n v="572"/>
    <s v="BOGA MESIAS JAIR FRANCISCO"/>
    <s v="AA. HH. EL MILAGRO SAN JUDAS TADEO - MZ C LOTE 06 - MINA DE ORO - SUNAMPE"/>
    <x v="2"/>
    <s v="ZONA: SUNAMPE - MINA DE ORO"/>
    <s v="986 178 947"/>
    <n v="71447384"/>
    <s v="F1"/>
  </r>
  <r>
    <n v="573"/>
    <s v="ALBINO YATACO JERSON ALEXANDER"/>
    <s v="CL. SAN VICENTE FERRER, PUERTA B - CERCADO GROCIO PRADO"/>
    <x v="2"/>
    <s v="ZONA: SUNAMPE – SAN PILPA"/>
    <s v="929 784 592"/>
    <n v="71460150"/>
    <s v="F1"/>
  </r>
  <r>
    <n v="574"/>
    <s v="CARBAJAL TORRES MARTHA ELIZABETH"/>
    <s v="San pedro de pilpa, psj. San blas"/>
    <x v="2"/>
    <s v="ZONA: SUNAMPE – SAN PILPA"/>
    <n v="972054970"/>
    <n v="71460153"/>
    <s v="F1"/>
  </r>
  <r>
    <n v="575"/>
    <s v="ACHARTE MOREYRA YOSELIN ALICIA "/>
    <s v="Calle colon tercera cuadra chincha"/>
    <x v="1"/>
    <s v="Zona: Chincha"/>
    <n v="930581819"/>
    <n v="71472263"/>
    <s v="F1"/>
  </r>
  <r>
    <n v="578"/>
    <s v="CANTO PACHAS DANIELA ELIZABETH"/>
    <s v="Paso de Gomez 115 - Sunampe"/>
    <x v="2"/>
    <s v="ZONA: SUNAMPE – SANTA ROSA"/>
    <n v="938185031"/>
    <n v="71539460"/>
    <s v="F1"/>
  </r>
  <r>
    <n v="579"/>
    <s v="SIFUENTES CRISOSTOMO MARYORI DARLIN"/>
    <s v="Santo Toribio #120 - Sunampe Ref: para atrás de pilpa"/>
    <x v="2"/>
    <s v="ZONA: SUNAMPE – SAN PILPA"/>
    <n v="933866327"/>
    <n v="71572853"/>
    <s v="F1"/>
  </r>
  <r>
    <n v="580"/>
    <s v="HUAMAN TASAYCO ANGEL GIOMAR"/>
    <s v="AV. FATIMA LT. 19 - SUNAMPE"/>
    <x v="2"/>
    <s v="ZONA: SUNAMPE – HUACA GRANDE"/>
    <n v="970555978"/>
    <n v="71592530"/>
    <s v="F1"/>
  </r>
  <r>
    <n v="581"/>
    <s v="CORDOVA DE LA CRUZ JUNIOR GIANCARLOS"/>
    <s v="AV. SAN RAFAEL S/N - GROCIO PRADO"/>
    <x v="2"/>
    <s v="ZONA: SUNAMPE – SAN PILPA"/>
    <n v="935266044"/>
    <n v="71605480"/>
    <s v="F1"/>
  </r>
  <r>
    <n v="582"/>
    <s v="ALMEYDA TORRES NICOLL DAYANNA"/>
    <s v="CALLE TUPAC AMARU N340 - SUNAMPE"/>
    <x v="2"/>
    <s v="ZONA: SUNAMPE – SIMON"/>
    <s v="955 336 277"/>
    <n v="71615898"/>
    <s v="F1"/>
  </r>
  <r>
    <n v="583"/>
    <s v="SARAVIA MEDINA LUIS"/>
    <s v="AV. LOS ANGELES Nª 512 - LOMO LARGO - SUNAMPE"/>
    <x v="2"/>
    <s v="ZONA: SUNAMPE – PARAISO"/>
    <n v="977537270"/>
    <n v="71616237"/>
    <s v="F1"/>
  </r>
  <r>
    <n v="584"/>
    <s v="CRISOSTOMO LEVANO PEDRO MANUEL"/>
    <s v="CALLE LOS ANGELES S/N, LOMO LARGO - SUNAMPE"/>
    <x v="2"/>
    <s v="ZONA: SUNAMPE – SAN PILPA"/>
    <n v="955127262"/>
    <n v="71616251"/>
    <s v="F1"/>
  </r>
  <r>
    <n v="585"/>
    <s v="LEVANO ALMEYDA GIANELLA ANGELINA"/>
    <s v="AV. SANTA ROSA S/N - SUNAMPE ( Referencia frente al estadio sunampe)"/>
    <x v="2"/>
    <s v="ZONA: SUNAMPE – CALLE LIMA"/>
    <n v="966116387"/>
    <n v="71652939"/>
    <s v="F1"/>
  </r>
  <r>
    <n v="586"/>
    <s v="CURACA CUSIPUMA MANUEL ENRIQUE"/>
    <s v="Virgen del carmen mz lote 11 Cruz Blanca"/>
    <x v="1"/>
    <s v="ZONA: CRUZ BLANCA VIRGEN CARMEN"/>
    <n v="923144872"/>
    <n v="71717330"/>
    <s v="F1"/>
  </r>
  <r>
    <n v="587"/>
    <s v="MEDRANO SALDAÑA MARIA DEL CARMEN"/>
    <s v="AV. LA ALAMEDA Nº215 - SUNAMPE"/>
    <x v="2"/>
    <s v="ZONA: SUNAMPE – SAN PILPA"/>
    <n v="956782898"/>
    <n v="71787045"/>
    <s v="F1"/>
  </r>
  <r>
    <n v="588"/>
    <s v="CUADROS SARAVIA DIANA CAROLINA"/>
    <s v="PSJ. ANAMPA N° 160 - SUNAMPE"/>
    <x v="2"/>
    <s v="ZONA: SUNAMPE – CHACARITA"/>
    <s v="927 744 936"/>
    <n v="71789730"/>
    <s v="F1"/>
  </r>
  <r>
    <n v="589"/>
    <s v="RAUL DAVID HUAYTA HUILLCA"/>
    <s v="CL. ANDRES RAZURI N°681 - CERCADO DE CHINCHA ALTA - CHINCHA ALTA"/>
    <x v="0"/>
    <s v="ZONA: PUEBLO - TECHO PROPIO"/>
    <n v="912946029"/>
    <n v="71817001"/>
    <s v="F1"/>
  </r>
  <r>
    <n v="590"/>
    <s v="VASQUEZ LUY JON ANGELO FERNANDO"/>
    <s v="AV. LA ALAMEDA S/N - SUNAMPE"/>
    <x v="2"/>
    <s v="ZONA: SUNAMPE – SANTA ROSA"/>
    <s v="929 983 460"/>
    <n v="71817032"/>
    <s v="F1"/>
  </r>
  <r>
    <n v="592"/>
    <s v="MARYORI NICOL CASTILLA MAGALLANES"/>
    <s v="CL DOS PUENTES Nro. Puerta 128 02 Cercado Chincha Alta CHINCHA ALTA"/>
    <x v="1"/>
    <s v="ZONA: CHINCHA - AMERICA"/>
    <n v="960729102"/>
    <n v="71883044"/>
    <s v="F1"/>
  </r>
  <r>
    <n v="595"/>
    <s v="LOBO MENESES LUIS ALFONSO"/>
    <s v="PSJ. LA FRONTERA Nª 257 - C.P. LOMO LARGO - SUNAMPE"/>
    <x v="2"/>
    <s v="ZONA: SUNAMPE – PARAISO"/>
    <n v="930197086"/>
    <n v="72082086"/>
    <s v="F1"/>
  </r>
  <r>
    <n v="596"/>
    <s v="PEÑA MORAN EDSON JAIR"/>
    <s v="Calle Paso de Gomez 106.01"/>
    <x v="2"/>
    <s v="ZONA: SUNAMPE – SANTA ROSA"/>
    <n v="977704097"/>
    <n v="72350287"/>
    <s v="F1"/>
  </r>
  <r>
    <n v="599"/>
    <s v="CARMEN DEL ROSARIO MARTINEZ DE LA CRUZ"/>
    <s v="Cruz Blanca S/N"/>
    <x v="1"/>
    <s v="ZONA: CRUZ BLANCA PARTE ALTA oruro"/>
    <s v="933 826 012"/>
    <n v="72485056"/>
    <s v="F1"/>
  </r>
  <r>
    <n v="600"/>
    <s v="PASTOR ROJAS PATRICIA DEL  PILAR"/>
    <s v="AV. SANTA ROSA N° 312 - C.P. LOMO LARGO - SUNAMPE"/>
    <x v="2"/>
    <s v="ZONA: SUNAMPE – CALLE LIMA"/>
    <n v="924594304"/>
    <n v="72517098"/>
    <s v="F1"/>
  </r>
  <r>
    <n v="602"/>
    <s v="NAVARRETE QUISPE LUZ ELENA"/>
    <s v="Centro poblado condorillo alto, m z lt 7"/>
    <x v="1"/>
    <s v="ZONA: CONDORILLO PARTE ALTA"/>
    <n v="977892159"/>
    <n v="72628484"/>
    <s v="F1"/>
  </r>
  <r>
    <n v="605"/>
    <s v="MEDINA PINTO ROSSMERY"/>
    <s v="cruz verde calle Andrés Avelino ceceres 240"/>
    <x v="4"/>
    <s v="Zona: Tambo de Mora 2"/>
    <n v="944049975"/>
    <n v="72757929"/>
    <s v="F1"/>
  </r>
  <r>
    <n v="606"/>
    <s v="YATACO LEVANO JOSE LUIS"/>
    <s v="Comite Alameda G.B. 232 - Sunampe"/>
    <x v="2"/>
    <s v="ZONA: SUNAMPE – SANTA ROSA"/>
    <n v="915384222"/>
    <n v="72761675"/>
    <s v="F1"/>
  </r>
  <r>
    <n v="607"/>
    <s v="VASQUEZ VELASQUEZ ALEXANDRA LISSETH"/>
    <s v="C.P. CONDORILLO ALTO MZ R LT 10 - CHINCHA"/>
    <x v="1"/>
    <s v="ZONA: CRUZ BLANCA PARTE BAJA"/>
    <n v="935553369"/>
    <n v="72784530"/>
    <s v="F1"/>
  </r>
  <r>
    <n v="608"/>
    <s v="BONIFACIO QUISPE EVER PABLO"/>
    <s v="AV. La alameda s/n Sunampe"/>
    <x v="2"/>
    <s v="ZONA: SUNAMPE – SANTA ROSA"/>
    <n v="936357730"/>
    <n v="72801045"/>
    <s v="F1"/>
  </r>
  <r>
    <n v="609"/>
    <s v="APOLAYA MARCOS PAMELA"/>
    <s v="PSJ ALMEYDA, LA ALAMEDA - SUNAMPE"/>
    <x v="2"/>
    <s v="ZONA: SUNAMPE – SAN PILPA"/>
    <n v="948658027"/>
    <n v="72852730"/>
    <s v="F1"/>
  </r>
  <r>
    <n v="610"/>
    <s v="VASCONSUELOS NAPA DENILSON ADAMIR"/>
    <s v="PSJ. SAN NICOLAS N° 257 - C.P. MONTE RICO MZ. P LT. 05 - SUNAMPE"/>
    <x v="2"/>
    <s v="ZONA: SUNAMPE – SIMON"/>
    <n v="937253910"/>
    <n v="72857031"/>
    <s v="F1"/>
  </r>
  <r>
    <n v="611"/>
    <s v="VALENCIA SARAVIA ELIZABETH"/>
    <s v="PSJ. SAN GREGORIO S/N, LA ALAMEDA  - SUNAMPE"/>
    <x v="2"/>
    <s v="ZONA: SUNAMPE – SAN PILPA"/>
    <n v="950162295"/>
    <n v="72872536"/>
    <s v="F1"/>
  </r>
  <r>
    <n v="612"/>
    <s v="MAGALLANES OLIVERO JAVIER ENRIQUE"/>
    <s v="MINA DE ORO MZ B LT 01 - SUNAMPE"/>
    <x v="2"/>
    <s v="ZONA: SUNAMPE - MINA DE ORO"/>
    <s v="983 771 337"/>
    <n v="72888104"/>
    <s v="F1"/>
  </r>
  <r>
    <n v="613"/>
    <s v="TASAYCO HERNANDEZ JESSICA FABIOLA"/>
    <s v="Av. alameda 232 - Sunampe"/>
    <x v="2"/>
    <s v="ZONA: SUNAMPE – SANTA ROSA"/>
    <n v="900773704"/>
    <n v="72919856"/>
    <s v="F1"/>
  </r>
  <r>
    <n v="614"/>
    <s v="AVILES GUZMAN SERGIO JHOSSUA"/>
    <s v="UPIS 15 DE NOVIEMBRE / JOSE OLAYA B 13 - DOS PUENTES"/>
    <x v="1"/>
    <s v="ZONA: CHINCHA - AMERICA"/>
    <n v="904587978"/>
    <n v="72977459"/>
    <s v="F1"/>
  </r>
  <r>
    <n v="615"/>
    <s v="ROSAS LAY KEVIN"/>
    <s v="AV. SAN MARTIN N°599, MINA DE ORO - SUNAMPE"/>
    <x v="2"/>
    <s v="ZONA: SUNAMPE – CHACARITA"/>
    <n v="986233200"/>
    <n v="73102201"/>
    <s v="F1"/>
  </r>
  <r>
    <n v="616"/>
    <s v="ATUNCAR MENESES BRYAN ALEXANDER"/>
    <s v="Av. San Pedro de Pilpa - Sunampe"/>
    <x v="2"/>
    <s v="ZONA: SUNAMPE – SAN PILPA"/>
    <n v="931220798"/>
    <n v="73146866"/>
    <s v="F1"/>
  </r>
  <r>
    <n v="618"/>
    <s v="TORRES ATUNCAR FRANK LUIS"/>
    <s v="Av. Paraiso 29 - lomo largo - sunampe"/>
    <x v="2"/>
    <s v="ZONA: SUNAMPE – PARAISO"/>
    <n v="944209364"/>
    <n v="73195681"/>
    <s v="F1"/>
  </r>
  <r>
    <n v="620"/>
    <s v="VILLA TASAYCO JEISON JOSE"/>
    <s v="Pasaje 2 de mayo - Cruz blanca"/>
    <x v="1"/>
    <s v="ZONA: CRUZ BLANCA PARTE ALTA oruro"/>
    <s v="919 712 420"/>
    <n v="73208845"/>
    <s v="F1"/>
  </r>
  <r>
    <n v="621"/>
    <s v="CHUQUISPUMA RAMOS BRYAN ANTHONY"/>
    <s v="C.P. CONDORILLO ALTO MZ. O LT. 04 - CHINCHA"/>
    <x v="1"/>
    <s v="ZONA: CONDORILLO PARTE ALTA"/>
    <s v="961 760 002"/>
    <n v="73211691"/>
    <s v="F1"/>
  </r>
  <r>
    <n v="622"/>
    <s v="GARCIA HERNANDEZ LEYLA CONSUELO"/>
    <s v="Pasaje la frontera 136 - lomo largo Ref: antes de la Scorpia"/>
    <x v="2"/>
    <s v="ZONA: SUNAMPE – PARAISO"/>
    <s v="972 159 681"/>
    <n v="73261084"/>
    <s v="F1"/>
  </r>
  <r>
    <n v="623"/>
    <s v="CASTILLA YATACO MARIA ESTHEFANI"/>
    <s v="CALLE JOSE SANTOS CHOCANO N°146 - SAN PEDRO DE PILPA - SUNAMPE"/>
    <x v="2"/>
    <s v="ZONA: SUNAMPE – SAN PILPA"/>
    <s v="980 539 380"/>
    <n v="73262665"/>
    <s v="F1"/>
  </r>
  <r>
    <n v="625"/>
    <s v="IRMA SHELLY RAFAEL ASENCIOS"/>
    <s v="AA.HH. CIUDAD SATELITE MZ. C LT. 07 - PUEBLO NUEVO"/>
    <x v="0"/>
    <s v="ZONA: PUEBLO - SATELITE"/>
    <n v="994071850"/>
    <n v="73391124"/>
    <s v="F1"/>
  </r>
  <r>
    <n v="626"/>
    <s v="SARAVIA MUNAYCO JORGE ARTURO"/>
    <s v="CALLE SAN JUAN N°143, SAN PEDRO DE PILPA - SUNAMPE"/>
    <x v="2"/>
    <s v="ZONA: SUNAMPE – SAN PILPA"/>
    <n v="923161067"/>
    <n v="73424093"/>
    <s v="F1"/>
  </r>
  <r>
    <n v="627"/>
    <s v="ALMEYDA APOLAYA LUCERO JANET"/>
    <s v="CONDOMINIO SAN PABLO - SUNAMPE"/>
    <x v="2"/>
    <s v="ZONA: SUNAMPE – SAN IGNACIO"/>
    <n v="984190711"/>
    <n v="73438744"/>
    <s v="F1"/>
  </r>
  <r>
    <n v="628"/>
    <s v="BONIFACIO BALLARTA SANDRA GIANELLA"/>
    <s v="AA.HH. VIRGEN DEL CARMEN MZ C - LT 07 - CRUZ BLANCA - CHINCHA"/>
    <x v="1"/>
    <s v="ZONA: CRUZ BLANCA VIRGEN CARMEN"/>
    <n v="962496422"/>
    <n v="73479221"/>
    <s v="F1"/>
  </r>
  <r>
    <n v="629"/>
    <s v="DE LA CRUZ MUNAYCO ANLLY NOEMI"/>
    <s v="Psj moran s/n san Antonio sunampe"/>
    <x v="2"/>
    <s v="Zona: Sunampe"/>
    <n v="949799352"/>
    <n v="73503256"/>
    <s v="F1"/>
  </r>
  <r>
    <n v="630"/>
    <s v="MAGALLANES MAGALLANES MIGUEL ANGEL"/>
    <s v="AV. LUIS ALVA MAURTUA N° 568-01 - CRUZ BLANCA - CHINCHA ALTA"/>
    <x v="1"/>
    <s v="ZONA: CRUZ BLANCA PARTE ALTA oruro"/>
    <n v="923116164"/>
    <n v="73587616"/>
    <s v="F1"/>
  </r>
  <r>
    <n v="631"/>
    <s v="CARBAJAL PACHAS FIORELLA RUBI"/>
    <s v="PSJ. PACHAS - MINA DE ORO - SUNAMPE"/>
    <x v="2"/>
    <s v="ZONA: SUNAMPE - MINA DE ORO"/>
    <n v="951875925"/>
    <n v="73648566"/>
    <s v="F1"/>
  </r>
  <r>
    <n v="632"/>
    <s v="NAPA ABREGU ANGEL DANIEL"/>
    <s v="AV. LUIS ALVA MAURTUA S/N (4TA CDRA) - CRUZ BLANCA - CHINCHA ALTA"/>
    <x v="1"/>
    <s v="ZONA: CRUZ BLANCA PARTE ALTA oruro"/>
    <s v="966 557 234"/>
    <n v="73753884"/>
    <s v="F1"/>
  </r>
  <r>
    <n v="633"/>
    <s v="PADILLA CASTILLA MONICA YASMIN"/>
    <s v="AV. SAN ANTONIO NRO. 396 - GUAYABO, REF. ANTES DE LA 2DA LOZA"/>
    <x v="2"/>
    <s v="ZONA: SUNAMPE – SAN IGNACIO"/>
    <n v="918890415"/>
    <n v="73753896"/>
    <s v="F1"/>
  </r>
  <r>
    <n v="635"/>
    <s v="MARCOS MAGALLANES JESUS ALEXANDER"/>
    <s v="Av. Alva Maurtua, cruz blanca 760, ultimo paradero terminando la pista"/>
    <x v="1"/>
    <s v="ZONA: CRUZ BLANCA PARTE ALTA oruro"/>
    <s v="957 238 058"/>
    <n v="73822413"/>
    <s v="F1"/>
  </r>
  <r>
    <n v="636"/>
    <s v="FLORES SANABRIA MEYBY ESPERANZA"/>
    <s v="Upis san agustin MZ L LOTE 12-Chincha Alta"/>
    <x v="0"/>
    <s v="Zona: Rosedal"/>
    <n v="987140176"/>
    <n v="73904016"/>
    <s v="F1"/>
  </r>
  <r>
    <n v="637"/>
    <s v="CRISTIAN JOSE MANCILLA CAJA"/>
    <s v="EL SALVADOR mz. D lt. 06"/>
    <x v="0"/>
    <s v="ZONA: PUEBLO - SALVADOR"/>
    <n v="981515239"/>
    <n v="73972845"/>
    <s v="F1"/>
  </r>
  <r>
    <n v="638"/>
    <s v="CALDERON NUÑEZ JHON MARCOS"/>
    <s v="AA.HH. VIRGEN DE FATIMA MZ B LT. 10 (AMERICA) - CHINCHA ALTA"/>
    <x v="1"/>
    <s v="ZONA: CHINCHA - AMERICA"/>
    <s v="959 870 368"/>
    <n v="74033840"/>
    <s v="F1"/>
  </r>
  <r>
    <n v="640"/>
    <s v="OSTIA MENDIGUETE LEONARDO"/>
    <s v="psj. santa rosa s/n virgen del carmen, la ultima caja"/>
    <x v="1"/>
    <s v="ZONA: CRUZ BLANCA CAMPO"/>
    <n v="965220433"/>
    <n v="74060377"/>
    <s v="F1"/>
  </r>
  <r>
    <n v="641"/>
    <s v="HUAMAN VILLA ALINA JANETH"/>
    <s v="San Ignacio  - Sunampe"/>
    <x v="2"/>
    <s v="ZONA: SUNAMPE – SAN IGNACIO"/>
    <n v="923289467"/>
    <n v="74060396"/>
    <s v="F1"/>
  </r>
  <r>
    <n v="642"/>
    <s v="OCHOA ALMEYDA JOSE LUIS"/>
    <s v="San pedro de pilpa - Sunampe"/>
    <x v="2"/>
    <s v="ZONA: SUNAMPE – SAN PILPA"/>
    <s v="946 215 112"/>
    <n v="74069744"/>
    <s v="F1"/>
  </r>
  <r>
    <n v="643"/>
    <s v="FELIX LEVANO EDWIN EDUARDO"/>
    <s v="AV. PRIMAVERA N710, C.P. LA VICTORIA - SUNAMPE"/>
    <x v="2"/>
    <s v="ZONA: SUNAMPE – SANTA FE"/>
    <n v="974341388"/>
    <n v="74151769"/>
    <s v="F1"/>
  </r>
  <r>
    <n v="644"/>
    <s v="GUERRA MARTINEZ MARIA MILAGROS"/>
    <s v="Cruz blanca, toma de cala"/>
    <x v="1"/>
    <s v="ZONA: CRUZ BLANCA VIRGEN CARMEN"/>
    <n v="901790163"/>
    <n v="74171164"/>
    <s v="F1"/>
  </r>
  <r>
    <n v="646"/>
    <s v="PACHAS PASACHE KAREN JACKELINE"/>
    <s v="Calle jose pardo mz. V lt. 07 - Sunampe"/>
    <x v="2"/>
    <s v="ZONA: SUNAMPE – SIMON"/>
    <n v="960636093"/>
    <n v="74417191"/>
    <s v="F1"/>
  </r>
  <r>
    <n v="648"/>
    <s v="EDINSON JOSEFT MUÑOZ CHIARA"/>
    <s v="AA.HH. CIUDAD SATELITE MZ. L - PUERTA 01 - PUEBLO NUEVO"/>
    <x v="0"/>
    <s v="ZONA: PUEBLO - SATELITE"/>
    <s v="971 720 162"/>
    <n v="74561589"/>
    <s v="F1"/>
  </r>
  <r>
    <n v="649"/>
    <s v="TORRES ROMAN JUNIOR SMITH"/>
    <s v="AV. HUASCAR 130  A - SAN IGNACIO"/>
    <x v="2"/>
    <s v="ZONA: SUNAMPE – SAN IGNACIO"/>
    <n v="993219508"/>
    <n v="74624844"/>
    <s v="F1"/>
  </r>
  <r>
    <n v="650"/>
    <s v="CUADROS ECHANDIA SEBASTIAN YAIR"/>
    <s v="URB. LEON DE VIVERO MZ. 17 LT 03 - PUEBLO NUEVO"/>
    <x v="0"/>
    <s v="ZONA: PUEBLO - SALVADOR"/>
    <n v="912405510"/>
    <n v="74684828"/>
    <s v="F1"/>
  </r>
  <r>
    <n v="651"/>
    <s v="REQUEJO GUERRA JANNET"/>
    <s v="CALLE VICTOR RAUL HAYA DE LA TORRE - CHACARITA"/>
    <x v="2"/>
    <s v="ZONA: SUNAMPE – CHACARITA"/>
    <n v="922306155"/>
    <n v="74684837"/>
    <s v="F1"/>
  </r>
  <r>
    <n v="652"/>
    <s v="YATACO RAMIREZ ADRIANA NICOLE"/>
    <s v="AV. SAN CRISTOBAL N°196 - 14 - C.P. SAN IGNACIO - SUNAMPE"/>
    <x v="2"/>
    <s v="ZONA: SUNAMPE – VILLA JULIA"/>
    <n v="921083607"/>
    <n v="74841780"/>
    <s v="F1"/>
  </r>
  <r>
    <n v="653"/>
    <s v="ANTON QUISPE BRITNEY ROSALINDA"/>
    <s v="AA.HH VIRGEN DEL CARMEN MZ. G LT. 15 - CHINCHA ALTA"/>
    <x v="1"/>
    <s v="ZONA: CRUZ BLANCA VIRGEN CARMEN"/>
    <n v="904659396"/>
    <n v="74866616"/>
    <s v="F1"/>
  </r>
  <r>
    <n v="654"/>
    <s v="ORMEÑO YATACO ARACELY MILAGROS"/>
    <s v="VIRGEN DEL CARMEN MZ B LT 07, CRUZ BLANCA"/>
    <x v="1"/>
    <s v="ZONA: CRUZ BLANCA VIRGEN CARMEN"/>
    <n v="934817787"/>
    <n v="74945376"/>
    <s v="F1"/>
  </r>
  <r>
    <n v="655"/>
    <s v="LEVANO YATACO LIZETH MILAGROS"/>
    <s v="PSJ. DOS DE MAYO - CRUZ BLANCA"/>
    <x v="1"/>
    <s v="ZONA: CRUZ BLANCA PARTE ALTA oruro"/>
    <n v="956501165"/>
    <n v="75064714"/>
    <s v="F1"/>
  </r>
  <r>
    <n v="656"/>
    <s v="ATUNCAR ALMEYDA ANGEL JESUS"/>
    <s v="CL. SANTA TERESA S/N - BAJADA DEL SOCORRO - SUNAMPE"/>
    <x v="2"/>
    <s v="ZONA: SUNAMPE – SANTA FE"/>
    <s v="977 655 697"/>
    <n v="75178691"/>
    <s v="F1"/>
  </r>
  <r>
    <n v="657"/>
    <s v="CASTILLA MARCOS DIANA CAROLINA"/>
    <s v="AA.HH. VIRGEN DEL CARMEN MZ. E LT. 10 - CRUZ BLANCA"/>
    <x v="1"/>
    <s v="ZONA: CRUZ BLANCA VIRGEN CARMEN"/>
    <n v="907063071"/>
    <n v="75187066"/>
    <s v="F1"/>
  </r>
  <r>
    <n v="658"/>
    <s v="CAMPOS VILLA JOHN WILLIAMS"/>
    <s v="Parada de los Amigos Pasaje Villa - Sunampe"/>
    <x v="2"/>
    <s v="ZONA: SUNAMPE – SAN PILPA"/>
    <n v="967061773"/>
    <n v="75347649"/>
    <s v="F1"/>
  </r>
  <r>
    <n v="660"/>
    <s v="QUISPE VASQUEZ JOSE ALEXANDER"/>
    <s v="VILLA JULIA PSJ LOS LAURELES"/>
    <x v="2"/>
    <s v="ZONA: SUNAMPE – VILLA JULIA"/>
    <s v="939 584 261"/>
    <n v="75449009"/>
    <s v="F1"/>
  </r>
  <r>
    <n v="661"/>
    <s v="TASAYCO MUÑOZ TANIA JAHAYRA"/>
    <s v="Av. 2 de mayo 299 - Cruz blanca"/>
    <x v="1"/>
    <s v="ZONA: CRUZ BLANCA PARTE ALTA oruro"/>
    <s v="945 111 670"/>
    <n v="75473800"/>
    <s v="F1"/>
  </r>
  <r>
    <n v="662"/>
    <s v="GALLEGOS SANCHEZ CARMEN DEL ROSARIO"/>
    <s v="CL. SANTA ROSA N° 251 - SUNAMPE"/>
    <x v="2"/>
    <s v="ZONA: SUNAMPE – SAN PILPA"/>
    <s v="974 088 503x"/>
    <n v="75509612"/>
    <s v="F1"/>
  </r>
  <r>
    <n v="663"/>
    <s v="PAMELA AGUILAR LACHUMA"/>
    <s v="AA.HH. CIUDAD SATELITE MZ. E LT. 08 - PUEBLO NUEVO"/>
    <x v="0"/>
    <s v="ZONA: PUEBLO - SATELITE"/>
    <n v="903218708"/>
    <n v="75570741"/>
    <s v="F1"/>
  </r>
  <r>
    <n v="664"/>
    <s v="CHAVEZ YAURICASA MARCO ANTONIO"/>
    <s v="Psj. San Juan de Dios S/N"/>
    <x v="1"/>
    <s v="ZONA: CRUZ BLANCA PARTE ALTA oruro"/>
    <s v="906 735 817"/>
    <n v="75660424"/>
    <s v="F1"/>
  </r>
  <r>
    <n v="665"/>
    <s v="GARCIA MENDIGUETE ELISET"/>
    <s v="CL. LAS FRONTERAS N° 181, C.P. LOMO LARGO - SUNAMPE"/>
    <x v="2"/>
    <s v="ZONA: SUNAMPE – PARAISO"/>
    <n v="990345375"/>
    <n v="75661021"/>
    <s v="F1"/>
  </r>
  <r>
    <n v="666"/>
    <s v="PACHAS ALARCON JOSELYN JANET"/>
    <s v="PSJ. RAMON CASTILLA N° 135 - SUNAMPE (CHACARITA)"/>
    <x v="2"/>
    <s v="ZONA: SUNAMPE – CHACARITA"/>
    <n v="997923269"/>
    <n v="75667436"/>
    <s v="F1"/>
  </r>
  <r>
    <n v="667"/>
    <s v="FELIX GARCIA DIEGO ERNESTO"/>
    <s v="Av. Primavera, despues de la entrada de Santa fe - Sunampe"/>
    <x v="2"/>
    <s v="ZONA: SUNAMPE – SANTA FE"/>
    <n v="971110476"/>
    <n v="75675848"/>
    <s v="F1"/>
  </r>
  <r>
    <n v="669"/>
    <s v="VILLALOBOS RAMOS KATI LUCERO"/>
    <s v="AV. ALFONSO UGARTE Nª H-7 - SUNAMPE"/>
    <x v="2"/>
    <s v="ZONA: SUNAMPE – SAN PILPA"/>
    <s v="926 791 781"/>
    <n v="75724634"/>
    <s v="F1"/>
  </r>
  <r>
    <n v="670"/>
    <s v="NAVARRETE CARBAJAL ROSARIO DEL PILAR"/>
    <s v="Av. San Antonio M. c Lt. 06 - Sunampe"/>
    <x v="2"/>
    <s v="ZONA: SUNAMPE – VILLA JULIA"/>
    <n v="950922462"/>
    <n v="75780955"/>
    <s v="F1"/>
  </r>
  <r>
    <n v="671"/>
    <s v="SANDRA ARANCELI POMALAZA MUÑOZ"/>
    <s v="AA.HH. CIUDAD SATELITE MZ. C - LT. 02 - PUEBLO NUEVO"/>
    <x v="0"/>
    <s v="ZONA: PUEBLO - SATELITE"/>
    <n v="902247802"/>
    <n v="75800208"/>
    <s v="F1"/>
  </r>
  <r>
    <n v="672"/>
    <s v="CRUZ SALAZAR ANDREA KINBERLY"/>
    <s v="Codorillo alto Mz. P Lt. 4"/>
    <x v="1"/>
    <s v="ZONA: CONDORILLO PARTE BAJA"/>
    <n v="932491421"/>
    <n v="75800215"/>
    <s v="F1"/>
  </r>
  <r>
    <n v="674"/>
    <s v="SALDAÑA CHUQUISPUMA DIANA ROSMERY"/>
    <s v="Condorillo alto L.19"/>
    <x v="1"/>
    <s v="ZONA: CONDORILLO PARTE ALTA"/>
    <n v="918572837"/>
    <n v="75832418"/>
    <s v="F1"/>
  </r>
  <r>
    <n v="675"/>
    <s v="YATACO MAGALLANES ANGEL DAVID"/>
    <s v="C.P. CONDORILLO ALTO MZ. H LT. 8 - CHINCHA"/>
    <x v="1"/>
    <s v="ZONA: CONDORILLO PARTE BAJA"/>
    <n v="906800381"/>
    <n v="75832428"/>
    <s v="F1"/>
  </r>
  <r>
    <n v="676"/>
    <s v="MAURICIO SARAVIA RENZO"/>
    <s v="PSJE. SAN MIGUEL LOTE 06, BARRIO CHACARITA - SUNAMPE"/>
    <x v="2"/>
    <s v="ZONA: SUNAMPE – CHACARITA"/>
    <s v="918 737 827"/>
    <n v="75833408"/>
    <s v="F1"/>
  </r>
  <r>
    <n v="677"/>
    <s v="MARTINEZ MACHARI ALEXANDER ANDERSON"/>
    <s v="CC.PP NUEVO CONDORILLO - SAN VALENTIN G-8"/>
    <x v="1"/>
    <s v="ZONA: CRUZ BLANCA CAMPO"/>
    <s v="926 767 635"/>
    <n v="75842283"/>
    <s v="F1"/>
  </r>
  <r>
    <n v="678"/>
    <s v="GARCIA APOLAYA CARLOS EDUARDO"/>
    <s v="Av Simón Bolívar 328. Cruz Verde -Tambo de mora"/>
    <x v="4"/>
    <s v="Zona: Tambo de Mora 2"/>
    <n v="5255873"/>
    <n v="75874825"/>
    <s v="F1"/>
  </r>
  <r>
    <n v="679"/>
    <s v="ALVARADO JUAREZ ANTHONY JACOB"/>
    <s v="PSJ. 2 DE MAYO LT. 07 - CRUZ BLANCA - CHINCHA"/>
    <x v="1"/>
    <s v="ZONA: CRUZ BLANCA PARTE ALTA oruro"/>
    <n v="967591253"/>
    <n v="75901224"/>
    <s v="F1"/>
  </r>
  <r>
    <n v="681"/>
    <s v="CASTAÑEDA SULCA ROSA LINDA"/>
    <s v="CC.PP. NUEVO CONDORILLO - SAN VALENTIN MZ. I LT. 12 - CHINCHA"/>
    <x v="1"/>
    <s v="ZONA: CONDORILLO PARTE BAJA"/>
    <n v="900648734"/>
    <n v="75957606"/>
    <s v="F1"/>
  </r>
  <r>
    <n v="684"/>
    <s v="FELIX GARAY DANIELA MILAGROS"/>
    <s v="CL. LOS ANGELES S/N, C.P. LOMO LARGO - SUNAMPE"/>
    <x v="2"/>
    <s v="ZONA: SUNAMPE – SAN PILPA"/>
    <n v="906234378"/>
    <n v="76022500"/>
    <s v="F1"/>
  </r>
  <r>
    <n v="686"/>
    <s v="AVALOS FLORES YENNY LISETH"/>
    <s v="PSJ. JOSE OLAYA N°899 - CHINCHA ALTA (La playita)"/>
    <x v="1"/>
    <s v="ZONA: CRUZ BLANCA VIRGEN CARMEN"/>
    <n v="934604492"/>
    <n v="76033387"/>
    <s v="F1"/>
  </r>
  <r>
    <n v="689"/>
    <s v="FUENTES DE LA CRUZ FATIMA DEL ROSARIO"/>
    <s v="Av. Fatima - Sunampe  710"/>
    <x v="2"/>
    <s v="ZONA: SUNAMPE – HUACA GRANDE"/>
    <n v="971900192"/>
    <n v="76079364"/>
    <s v="F1"/>
  </r>
  <r>
    <n v="691"/>
    <s v="HERNANDEZ NAPA CARLOS EDUARDO"/>
    <s v="CL. VICTOR RAUL HAYA DE LA TORRE S/N, CHACARITA - SUNAMPE"/>
    <x v="2"/>
    <s v="ZONA: SUNAMPE – CHACARITA"/>
    <n v="982692592"/>
    <n v="76172948"/>
    <s v="F1"/>
  </r>
  <r>
    <n v="693"/>
    <s v="MARYORI SARAVIA LEVANO"/>
    <s v="AVDA SAN RAFAEL NRO. 258-01 - BARRIO MELCHORITA - GROCIO PRADO"/>
    <x v="3"/>
    <s v="ZONA: GROCIO - MEJILLONEROS"/>
    <n v="943735454"/>
    <n v="76307312"/>
    <s v="F1"/>
  </r>
  <r>
    <n v="694"/>
    <s v="RAMOS BALTAZAR MAGDIEL"/>
    <s v="CL TOMA DE CALA LT17, CRUZ BLANCA"/>
    <x v="1"/>
    <s v="ZONA: CRUZ BLANCA VIRGEN CARMEN"/>
    <s v="906 628 589"/>
    <n v="76427502"/>
    <s v="F1"/>
  </r>
  <r>
    <n v="695"/>
    <s v="KATHERINE JASMIN LACHUMA IPUSHIMA"/>
    <s v="MZNA A NRO. LOTE 28 - C.P. LAS LOMAS - PUEBLO NUEVO"/>
    <x v="0"/>
    <s v="ZONA: PUEBLO - SATELITE"/>
    <n v="985383437"/>
    <n v="76505348"/>
    <s v="F1"/>
  </r>
  <r>
    <n v="696"/>
    <s v="BENDEZU FLORES LUCIA MABEL"/>
    <s v="psj. san martin s/n"/>
    <x v="2"/>
    <s v="ZONA: SUNAMPE – SANTA ROSA"/>
    <n v="994986103"/>
    <n v="76527110"/>
    <s v="F1"/>
  </r>
  <r>
    <n v="697"/>
    <s v="CARBAJAL NAVARRO CRISTHIAN JUNIOR"/>
    <s v="Av. Alva Maurtua S/N - Cruz Blanca"/>
    <x v="1"/>
    <s v="ZONA: CRUZ BLANCA PARTE ALTA oruro"/>
    <n v="924343517"/>
    <n v="76564222"/>
    <s v="F1"/>
  </r>
  <r>
    <n v="698"/>
    <s v="GONZALES ASTORAYME PEDRO JHOSEP"/>
    <s v="Rosedal Palermo MZ D Lote 2- Pueblo Nuevo  Ref: a espaldas de la torre"/>
    <x v="0"/>
    <s v="Zona: Rosedal"/>
    <n v="917443551"/>
    <n v="76566228"/>
    <s v="F1"/>
  </r>
  <r>
    <n v="699"/>
    <s v="CHUQUISPUMA QUISPE SANDRA CAROLINA"/>
    <s v="C.P. CONDORILLO ALTO - MZ. N  LT. 20 - CHINCHA ALTA"/>
    <x v="1"/>
    <s v="ZONA: CONDORILLO PARTE ALTA"/>
    <s v="984 393 444"/>
    <n v="76568304"/>
    <s v="F1"/>
  </r>
  <r>
    <n v="700"/>
    <s v="LEVANO PEÑA DANIEL ALBERTO"/>
    <s v="Psj santa rosa cruz blanca espalda estadio"/>
    <x v="1"/>
    <s v="ZONA: CRUZ BLANCA PARTE BAJA"/>
    <n v="936353217"/>
    <n v="76598077"/>
    <s v="F1"/>
  </r>
  <r>
    <n v="701"/>
    <s v="LEVANO VERGARA PIERO ALEXANDER"/>
    <s v="A.v Alva Maurtua Nº106- Cruz Blanca"/>
    <x v="1"/>
    <s v="ZONA: CRUZ BLANCA PARTE BAJA"/>
    <n v="927288221"/>
    <n v="76699951"/>
    <s v="F1"/>
  </r>
  <r>
    <n v="703"/>
    <s v="NILDA HUAHUATICO PALOMINO"/>
    <s v="AA. HH. LAS ROCAS MZ. J - PUERTA 08 - PUEBLO NUEVO"/>
    <x v="0"/>
    <s v="ZONA: PUEBLO - SATELITE - ROCAS"/>
    <n v="994043628"/>
    <n v="76872573"/>
    <s v="F1"/>
  </r>
  <r>
    <n v="704"/>
    <s v="CLAROS MAGALLANES JERSON JESUS"/>
    <s v="toma de cala lt 16"/>
    <x v="1"/>
    <s v="ZONA: CRUZ BLANCA PARTE BAJA"/>
    <s v="970 855 964"/>
    <n v="76920562"/>
    <s v="F1"/>
  </r>
  <r>
    <n v="705"/>
    <s v="YATACO JACOBO YERSON LEONEL"/>
    <s v="AV. NICOLAS DE PIEROLA Nº 130 - BARRIO SAN MARTIN - SUNAMPE"/>
    <x v="2"/>
    <s v="ZONA: SUNAMPE – CHACARITA"/>
    <n v="978787582"/>
    <n v="76953577"/>
    <s v="F1"/>
  </r>
  <r>
    <n v="706"/>
    <s v="CASTAÑEDA SULCA BRIGIDA DIONICIA"/>
    <s v="Cruz Blanca Psj estrada 2 de mayo"/>
    <x v="1"/>
    <s v="ZONA: CRUZ BLANCA PARTE ALTA oruro"/>
    <n v="991902168"/>
    <n v="77100370"/>
    <s v="F1"/>
  </r>
  <r>
    <n v="708"/>
    <s v="TIPISMANA PACHAS CARMEN LUCERO"/>
    <s v="Huaca grande Lt. 55-04 - Sunampe"/>
    <x v="2"/>
    <s v="ZONA: SUNAMPE – COLEGIO"/>
    <n v="932470546"/>
    <n v="77227968"/>
    <s v="F1"/>
  </r>
  <r>
    <n v="709"/>
    <s v="AZURIN QUISPE LUIS ANGEL"/>
    <s v="Condorillo Alto, De la pista principal hacia abajo"/>
    <x v="1"/>
    <s v="ZONA: CONDORILLO PARTE ALTA"/>
    <s v="940 707 598"/>
    <n v="77273006"/>
    <s v="F1"/>
  </r>
  <r>
    <n v="710"/>
    <s v="CAMILA HASEL MAC GUIRRE ORMEÑO"/>
    <s v="MZ. E NRO. PUERTA 02 AA.HH. VIRGEN DEL CARMEN - CHINCHA ALTA"/>
    <x v="1"/>
    <s v="ZONA: CRUZ BLANCA VIRGEN CARMEN"/>
    <n v="933469689"/>
    <n v="77391971"/>
    <s v="F1"/>
  </r>
  <r>
    <n v="711"/>
    <s v="AQUIJE CASTILLA FREDY JOEL"/>
    <s v="Upis karin Figueroa Mz B Lt 17 Chincha Baja"/>
    <x v="4"/>
    <s v="Zona: Tambo de Mora 1"/>
    <n v="994848235"/>
    <n v="77464373"/>
    <s v="F1"/>
  </r>
  <r>
    <n v="712"/>
    <s v="AQUINO MAGALLANES JASON"/>
    <s v="AV. 28 de Julio 909 - Grocio Prado"/>
    <x v="3"/>
    <s v="ZONA: GROCIO - MEJILLONEROS"/>
    <n v="902244127"/>
    <n v="77501764"/>
    <s v="F1"/>
  </r>
  <r>
    <n v="713"/>
    <s v="ABREGU NAPA FRANK ENRIQUE"/>
    <s v="Pasaje Napa - Cruz Blanca"/>
    <x v="1"/>
    <s v="ZONA: CRUZ BLANCA PARTE ALTA oruro"/>
    <n v="918104510"/>
    <n v="77564718"/>
    <s v="F1"/>
  </r>
  <r>
    <n v="714"/>
    <s v="TORRES MENDOZA FELICITA BEATRIZ"/>
    <s v="Av. Melchorita nº 813- Grocio Prado Ref: Colegio media luna espalda del restaurante Yanella"/>
    <x v="3"/>
    <s v="ZONA: GROCIO - MEJILLONEROS"/>
    <n v="919703341"/>
    <n v="77813385"/>
    <s v="F1"/>
  </r>
  <r>
    <n v="716"/>
    <s v="MAGALLANES CASAS STEFANY BRIDID"/>
    <s v="CALLE EL CARMEN N° 207 - CRUZ BLANCA - CHINCHA"/>
    <x v="1"/>
    <s v="ZONA: CRUZ BLANCA CAMPO"/>
    <n v="974714703"/>
    <n v="78825818"/>
    <s v="F1"/>
  </r>
  <r>
    <n v="718"/>
    <s v="MENESES TORRES VICTOR"/>
    <s v="Av. Arenales s/n (pasando el megamercado de cruz blanca)"/>
    <x v="1"/>
    <s v="ZONA: CRUZ BLANCA VIRGEN CARMEN"/>
    <n v="954494022"/>
    <n v="80060253"/>
    <s v="F1"/>
  </r>
  <r>
    <n v="722"/>
    <s v="RODRIGUEZ LOPEZ LORENA CAROLINA"/>
    <s v="AA. HH. CIUDAD SATELITE S/N. - PUEBLO NUEVO"/>
    <x v="0"/>
    <s v="ZONA: PUEBLO - SATELITE"/>
    <n v="907377901"/>
    <n v="10000001"/>
    <s v="F1"/>
  </r>
  <r>
    <n v="5"/>
    <s v="MAXIMO VICTOR LOYOLA SARAVIA"/>
    <s v="PSJE SAN BLAS ALTO Nro. Puerta 430 ; C.P. San Pedro de Pilpa , SUNAMPE"/>
    <x v="2"/>
    <s v="ZONA: SUNAMPE – SAN PILPA"/>
    <n v="986052283"/>
    <s v="06209396"/>
    <s v="Todos"/>
  </r>
  <r>
    <n v="13"/>
    <s v="CANALES MACHUCA MARUJA MARITZA"/>
    <s v="CL SAN MARTIN DE PORRES NRO. PUERTA 12B - LT. 4 - LOS ALAMOS - PUEBLO NUEVO"/>
    <x v="0"/>
    <s v="ZONA: PUEBLO - TECHO PROPIO"/>
    <n v="964036227"/>
    <s v="09674727"/>
    <s v="Todos"/>
  </r>
  <r>
    <n v="19"/>
    <s v="NORMA AMPARO RONCEROS GARAY"/>
    <s v="PSJE. SAN CRISTOBAL MZ. B LT. 01 - C.P. SAN IGNACIO - SUNAMPE"/>
    <x v="2"/>
    <s v="ZONA: SUNAMPE – VILLA JULIA"/>
    <n v="907480123"/>
    <n v="21509649"/>
    <s v="Todos"/>
  </r>
  <r>
    <n v="47"/>
    <s v="FLOR MARIA LEVANO YATACO"/>
    <s v="CALLE ROSARIO 500"/>
    <x v="0"/>
    <s v="ZONA: PUEBLO - TECHO PROPIO"/>
    <n v="933513255"/>
    <n v="21813176"/>
    <s v="Todos"/>
  </r>
  <r>
    <n v="62"/>
    <s v="MAGALLANES LOYOLA JOSE FELIX"/>
    <s v="AVDA 28 DE JULIO NRO. 1004-04 - GROCIO PRADO"/>
    <x v="3"/>
    <s v="ZONA: GROCIO - MEJILLONEROS"/>
    <s v="902 244 127"/>
    <n v="21830368"/>
    <s v="Todos"/>
  </r>
  <r>
    <n v="63"/>
    <s v="CONSUELO AVALOS SARAVIA DE PALOMINO"/>
    <s v="AVDA. 28 DE JULIO NRO. 909 - GROCIO PRADO"/>
    <x v="3"/>
    <s v="ZONA: GROCIO - MEJILLONEROS"/>
    <n v="912643870"/>
    <n v="21830636"/>
    <s v="Todos"/>
  </r>
  <r>
    <n v="64"/>
    <s v="MAGALLANES ALMEYDA JUAN PABLO"/>
    <s v="PSJE. MAGALLANES - 26 - EL PORVENIR - GROCIO PRADO"/>
    <x v="3"/>
    <s v="ZONA: GROCIO - EL PORVENIR"/>
    <n v="918717283"/>
    <n v="21834851"/>
    <s v="Todos"/>
  </r>
  <r>
    <n v="65"/>
    <s v="MUNAYCO MATIAS WALTER"/>
    <s v="CL ICA N° 147 SUNAMPE ANTIGUO - SUNAMPE"/>
    <x v="2"/>
    <s v="ZONA: SUNAMPE – CALLE LIMA"/>
    <s v="931 237 317"/>
    <n v="21835396"/>
    <s v="Todos"/>
  </r>
  <r>
    <n v="70"/>
    <s v="AVALOS ROJAS LUIS ALBERTO"/>
    <s v="Calle San Blas"/>
    <x v="2"/>
    <s v="ZONA: SUNAMPE – SAN PILPA"/>
    <n v="967858605"/>
    <n v="21846038"/>
    <s v="Todos"/>
  </r>
  <r>
    <n v="71"/>
    <s v="MENDOZA DE ALMEYDA MARITZA"/>
    <s v="PSJE LA FRONTERA NRO. PUERTA 150-05 - C.P. LOMO LARGO - SUNAMPE"/>
    <x v="2"/>
    <s v="ZONA: SUNAMPE – PARAISO"/>
    <n v="952031848"/>
    <n v="21846042"/>
    <s v="Todos"/>
  </r>
  <r>
    <n v="76"/>
    <s v="VICTOR HUGO MARQUEZ PASACHE"/>
    <s v="AV. PRINCIPAL S/N - C.P HUACA GRANDE - SUNAMPE"/>
    <x v="2"/>
    <s v="ZONA: SUNAMPE – HUACA GRANDE"/>
    <n v="904529937"/>
    <n v="21846612"/>
    <s v="Todos"/>
  </r>
  <r>
    <n v="81"/>
    <s v="DE LA CRUZ QUISPE FRANCISCO"/>
    <s v="Calle San Jose 103"/>
    <x v="3"/>
    <s v="Zona: GrocioPrado"/>
    <n v="945780584"/>
    <n v="21847928"/>
    <s v="Todos"/>
  </r>
  <r>
    <n v="96"/>
    <s v="JENNY BEATRIZ LOZA JARRIN"/>
    <s v="AA. HH. SR. ASENCION DE CACHUY Nro. MZ-B-L-20 CHINCHA ALTACHINCHA"/>
    <x v="1"/>
    <s v="ZONA: CHINCHA - AMERICA"/>
    <n v="934181187"/>
    <n v="21854339"/>
    <s v="Todos"/>
  </r>
  <r>
    <n v="104"/>
    <s v="HERMAN ROBERT VELASCO MATOS"/>
    <s v="ALVA MAURTUA - 514 - MZ-P LT-SN CP. CRUZ BLANCA - CHINCHA ALTA"/>
    <x v="1"/>
    <s v="ZONA: CRUZ BLANCA PARTE ALTA oruro"/>
    <n v="970113625"/>
    <n v="21857504"/>
    <s v="Todos"/>
  </r>
  <r>
    <n v="109"/>
    <s v="MONJE VDA DE MESIAS ROXANA"/>
    <s v="PSJE REYES NRO. 165 (DOS PUENTES) - CHINCHA ALTA"/>
    <x v="1"/>
    <s v="ZONA: CHINCHA - AMERICA"/>
    <n v="945804342"/>
    <n v="21860488"/>
    <s v="Todos"/>
  </r>
  <r>
    <n v="119"/>
    <s v="DIAZ NOVA ANGELICA DEL CARMEN"/>
    <s v="AV. MINA DE ORO N° 360 - SUNAMPE"/>
    <x v="2"/>
    <s v="ZONA: SUNAMPE - MINA DE ORO"/>
    <n v="941944410"/>
    <n v="21864471"/>
    <s v="Todos"/>
  </r>
  <r>
    <n v="132"/>
    <s v="IRIS ROSALINA RAMOS CASTILLA DE FAJARDO"/>
    <s v="UPIS KEIKO SOFIA F NRO. C-10 - PUEBLO NUEVO CHINCHA"/>
    <x v="0"/>
    <s v="ZONA: PUEBLO - SALVADOR"/>
    <n v="943481294"/>
    <n v="21867770"/>
    <s v="Todos"/>
  </r>
  <r>
    <n v="135"/>
    <s v="JOVANA MARLENE SOTELO LUNA"/>
    <s v="MZNA R1 NRO. PUERTA 23 URB. LEON DE VIVERO - PUEBLO NUEVO"/>
    <x v="0"/>
    <s v="ZONA: PUEBLO - SALVADOR"/>
    <n v="946091022"/>
    <n v="21868187"/>
    <s v="Todos"/>
  </r>
  <r>
    <n v="136"/>
    <s v="RAYMUNDO GONZALO BRAVO FARFAN"/>
    <s v="AVDA FATIMA LT. 37- SUNAMPE"/>
    <x v="2"/>
    <s v="ZONA: SUNAMPE – COLEGIO"/>
    <n v="966334271"/>
    <n v="21868301"/>
    <s v="Todos"/>
  </r>
  <r>
    <n v="147"/>
    <s v="CARBAJAL SARAVIA CARLOS WILLIAM"/>
    <s v="AV. SAN MARTIN, MZ O - LT. 12 - ANTIGUO SUNAMPE"/>
    <x v="2"/>
    <s v="ZONA: SUNAMPE – CHACARITA"/>
    <s v="934 210 395"/>
    <n v="21870818"/>
    <s v="Todos"/>
  </r>
  <r>
    <n v="148"/>
    <s v="MORAN CASTRO FELIX LEONARDO"/>
    <s v="CL NICOLAS DE PIEROLA NRO. 183 - SUNAMPE, REF. FRENTE AL CONDOMINIO SAN MARTIN"/>
    <x v="2"/>
    <s v="ZONA: SUNAMPE – CHACARITA"/>
    <n v="912471130"/>
    <n v="21871491"/>
    <s v="Todos"/>
  </r>
  <r>
    <n v="149"/>
    <s v="ESTELA QUISPE SANTIAGO"/>
    <s v="MZNA W NRO. PUERTA 04 UPIS KEIKO SOFIA FUJIMORI PUEBLO NUEVO"/>
    <x v="0"/>
    <s v="ZONA: PUEBLO - SALVADOR"/>
    <n v="918460892"/>
    <n v="21871581"/>
    <s v="Todos"/>
  </r>
  <r>
    <n v="150"/>
    <s v="WILIAM LINDER CHUQUISPUMA RAMIREZ"/>
    <s v="MZNA B Nro. Lote 05 , H.U. Los Pinos del Sur , GROCIO PRADO"/>
    <x v="0"/>
    <s v="ZONA: PUEBLO - SALVADOR"/>
    <s v="982 083 363"/>
    <n v="21873038"/>
    <s v="Todos"/>
  </r>
  <r>
    <n v="155"/>
    <s v="ROJAS RAMOS SONIA MAGALY"/>
    <s v="AVDA. FATIMA S/N - SUNAMPE"/>
    <x v="2"/>
    <s v="ZONA: SUNAMPE – COLEGIO"/>
    <s v="955 366 521"/>
    <n v="21873758"/>
    <s v="Todos"/>
  </r>
  <r>
    <n v="162"/>
    <s v="AVALOS MENDOZA MARIA ESTHER"/>
    <s v="CL. JORGE CHAVEZ MZ. C - LT. 15 - CHACARITA - SUNAMPE"/>
    <x v="2"/>
    <s v="ZONA: SUNAMPE – CHACARITA"/>
    <n v="954670384"/>
    <n v="21876735"/>
    <s v="Todos"/>
  </r>
  <r>
    <n v="171"/>
    <s v="MAGALLANES APOLAYA ENRIQUE JAVIER"/>
    <s v="AA.HH. LA UNION HACE LA FUERZA MZ. D LT. 05, MINA DE ORO - SUNAMPE"/>
    <x v="2"/>
    <s v="ZONA: SUNAMPE - MINA DE ORO"/>
    <n v="923385901"/>
    <n v="21879863"/>
    <s v="Todos"/>
  </r>
  <r>
    <n v="176"/>
    <s v="MAGALLANES CASTILLA ALEX WILFREDO"/>
    <s v="URB. JOSE OLIVA RAZZETO NRO. L - 11 - PUEBLO NUEVO"/>
    <x v="0"/>
    <s v="Zona: Rosedal"/>
    <n v="970308467"/>
    <n v="21881364"/>
    <s v="Todos"/>
  </r>
  <r>
    <n v="188"/>
    <s v="JENNY ESTHER DE LA CRUZ MARCOS"/>
    <s v="PROLONG.SANTO DOMINGO 854-04 - CHINCHA ALTA"/>
    <x v="1"/>
    <s v="ZONA: CHINCHA - AMERICA"/>
    <n v="997130640"/>
    <n v="21884439"/>
    <s v="Todos"/>
  </r>
  <r>
    <n v="193"/>
    <s v="GUTIERREZ CASTILLA WALTHER ANTONIO"/>
    <s v="PSJE COCO 192 - C.P. MONTERRICO - SUNAMPE"/>
    <x v="2"/>
    <s v="ZONA: SUNAMPE – SIMON"/>
    <n v="907538170"/>
    <n v="21885325"/>
    <s v="Todos"/>
  </r>
  <r>
    <n v="207"/>
    <s v="VENEGAS CHAUPIN PABLO"/>
    <s v="PSJE ALMEYDA Nro. Lote 134 27 Sin Barrio C.P. San Ignacio , SUNAMPE"/>
    <x v="2"/>
    <s v="ZONA: SUNAMPE – SAN IGNACIO"/>
    <n v="998862290"/>
    <n v="28296257"/>
    <s v="Todos"/>
  </r>
  <r>
    <n v="219"/>
    <s v="HILDA GRACIELA TASAYCO ATUNCAR"/>
    <s v="AV.PARAISO 027"/>
    <x v="2"/>
    <s v="ZONA: SUNAMPE – PARAISO"/>
    <n v="997829222"/>
    <n v="40203497"/>
    <s v="Todos"/>
  </r>
  <r>
    <n v="222"/>
    <s v="CHUMBIAUCA LOZA CECILIA"/>
    <s v="PSJE GUADALUPE MZ. H LT. 10 - C.P. HUACA GRANDE - SUNAMPE"/>
    <x v="2"/>
    <s v="ZONA: SUNAMPE – COLEGIO"/>
    <n v="986174876"/>
    <n v="40405047"/>
    <s v="Todos"/>
  </r>
  <r>
    <n v="225"/>
    <s v="MONICA ESTHER PEÑALOZA DE LA CRUZ"/>
    <s v="AA. HH. EL MILAGRO DE SAN JUDAS TADEO MZ C - LT. 9 - SUNAMPE"/>
    <x v="2"/>
    <s v="ZONA: SUNAMPE - MINA DE ORO"/>
    <n v="940960865"/>
    <n v="40499955"/>
    <s v="Todos"/>
  </r>
  <r>
    <n v="232"/>
    <s v="SOTELO TASAYCO BRUCE YENSON"/>
    <s v="CL. EL PORVENIR Nª 104 - C.P. HUACA GRANDE - SUNAMPE"/>
    <x v="2"/>
    <s v="ZONA: SUNAMPE – SANTA ROSA"/>
    <s v="965 781 887"/>
    <n v="40676826"/>
    <s v="Todos"/>
  </r>
  <r>
    <n v="239"/>
    <s v="VERONICA DEL PILAR ATUNCAR MUNAYCO"/>
    <s v="PSJE SANTA ROSA LT. 01 - SUNAMPE ANTIGUO -SUNAMPE"/>
    <x v="2"/>
    <s v="ZONA: SUNAMPE – SAN PILPA"/>
    <n v="983517587"/>
    <n v="40815158"/>
    <s v="Todos"/>
  </r>
  <r>
    <n v="248"/>
    <s v="CRISTIAN MISTOR TORRES MARCOS"/>
    <s v="PSJE ALVA MAURTUA NRO. 132 INT. 8 - C.P. CRUZ BLANCA - CHINCHA ALTA"/>
    <x v="1"/>
    <s v="ZONA: CRUZ BLANCA PARTE BAJA"/>
    <n v="947336454"/>
    <n v="40975420"/>
    <s v="Todos"/>
  </r>
  <r>
    <n v="249"/>
    <s v="CARBAJAL HERRERA PABLO ADOLFO"/>
    <s v="AV. VICTORIA N341 - CRUZ BLANCA"/>
    <x v="1"/>
    <s v="ZONA: CHINCHA - AMERICA"/>
    <n v="939110955"/>
    <n v="41004962"/>
    <s v="Todos"/>
  </r>
  <r>
    <n v="250"/>
    <s v="SOTELO LUNA MIRIAN SANDRA"/>
    <s v="URB. LEON DE VIVERO MZ 01 LT. 23 - PUEBLO NUEVO"/>
    <x v="3"/>
    <s v="ZONA: PUEBLO - SALVADOR"/>
    <n v="953607996"/>
    <n v="41004968"/>
    <s v="Todos"/>
  </r>
  <r>
    <n v="268"/>
    <s v="TAYPE BONIFACIO EDITH ROSARIO"/>
    <s v="PSJE GERANIOS NRO. 14 - C.P. LOMO LARGO - SUNAMPE"/>
    <x v="2"/>
    <s v="ZONA: SUNAMPE – PARAISO"/>
    <n v="938140936"/>
    <n v="41314183"/>
    <s v="Todos"/>
  </r>
  <r>
    <n v="270"/>
    <s v="RAMIREZ RONCEROS YSMELDA YSABEL"/>
    <s v="CL. LAS FLORES Nª 212 - C.P. CHACARITA - SUNAMPE"/>
    <x v="2"/>
    <s v="ZONA: SUNAMPE – CHACARITA"/>
    <n v="966615223"/>
    <n v="41379748"/>
    <s v="Todos"/>
  </r>
  <r>
    <n v="271"/>
    <s v="EDGAR EDUARDO AVALOS SARAVIA"/>
    <s v="PSJE SARAVIA S/N - BARRIO EL PORVENIR - GROCIO PRA"/>
    <x v="3"/>
    <s v="ZONA: GROCIO - EL PORVENIR"/>
    <n v="942533604"/>
    <n v="41379751"/>
    <s v="Todos"/>
  </r>
  <r>
    <n v="294"/>
    <s v="CASTILLA DE LA CRUZ HECTOR LUIS"/>
    <s v="CL DOS PUENTES NRO. 128-02 - CERCADO DE CHINCHA - CHINCHA ALTA"/>
    <x v="1"/>
    <s v="ZONA: CHINCHA - AMERICA"/>
    <n v="981972951"/>
    <n v="41731389"/>
    <s v="Todos"/>
  </r>
  <r>
    <n v="302"/>
    <s v="JOSE MIGUEL MESIAS TASAYCO"/>
    <s v="JRN LUIS ALVA MAURTUA Nro. Puerta 506 A Sin Barrio Cercado Pueblo Nuevo , PUEBLO NUEVO"/>
    <x v="0"/>
    <s v="ZONA: PUEBLO - LAS AMERICAS"/>
    <n v="943202544"/>
    <n v="41845232"/>
    <s v="Todos"/>
  </r>
  <r>
    <n v="313"/>
    <s v="SALDAÑA CHUQUISPUMA SARA LUZ"/>
    <s v="MZNA Y NRO. LOTE 2 SIN BARRIO C. P. CONDORILLO ALTO - CHINCHA ALTA"/>
    <x v="1"/>
    <s v="ZONA: CONDORILLO PARTE ALTA"/>
    <n v="913790329"/>
    <n v="41996473"/>
    <s v="Todos"/>
  </r>
  <r>
    <n v="327"/>
    <s v="ELIZABETH YAURI CANDIOTTE"/>
    <s v="UPIS KEIKO SOFIA FUJIMORI MZ. T - LT. 06 - PUEBLO NUEVO"/>
    <x v="0"/>
    <s v="ZONA: PUEBLO - SALVADOR"/>
    <n v="945513880"/>
    <n v="42434792"/>
    <s v="Todos"/>
  </r>
  <r>
    <n v="329"/>
    <s v="CARLOS ENRIQUE AVALOS TASAYCO"/>
    <s v="AA. HH. MIGUEL GRAU MZ. C - PUERTA 15 - PUEBLO NUEVO"/>
    <x v="0"/>
    <s v="ZONA: PUEBLO - SALVADOR"/>
    <n v="944134285"/>
    <n v="42506714"/>
    <s v="Todos"/>
  </r>
  <r>
    <n v="332"/>
    <s v="HUAYTA LEYVA CARMEN"/>
    <s v="MZNA Z2 Nro. Lote 17, Amp. Señor de Los Milagros - CHINCHA"/>
    <x v="0"/>
    <s v="Zona:  SrMilagros"/>
    <s v="974 966 848"/>
    <n v="42522787"/>
    <s v="Todos"/>
  </r>
  <r>
    <n v="333"/>
    <s v="SALVADOR TORRES SANDRA MILAGROS"/>
    <s v="CL. SAN VICENTE DE FERRER LT. 02, PSJ. 08 - C.P. SAN PEDRO DE PILPA - SUNAMPE"/>
    <x v="2"/>
    <s v="ZONA: SUNAMPE – SAN PILPA"/>
    <n v="992008034"/>
    <n v="42557418"/>
    <s v="Todos"/>
  </r>
  <r>
    <n v="341"/>
    <s v="LIDIA YOVANA CRISOSTOMO SARAVIA"/>
    <s v="PSJE SAN BLAS - CALLE A LT. 2 - ALFONSO UGARTE NORTE - SUNAMPE"/>
    <x v="2"/>
    <s v="ZONA: SUNAMPE – SAN PILPA"/>
    <n v="934515158"/>
    <n v="42768413"/>
    <s v="Todos"/>
  </r>
  <r>
    <n v="349"/>
    <s v="ROXANA LUZ CABEZAS LOPEZ"/>
    <s v="CP. MINA DE ORO - AA.HH. FLORES DE MINA MZ. A LT. 10 - SUNAMPE"/>
    <x v="2"/>
    <s v="ZONA: SUNAMPE - MINA DE ORO"/>
    <n v="901173825"/>
    <n v="43031430"/>
    <s v="Todos"/>
  </r>
  <r>
    <n v="352"/>
    <s v="TORRES BELLEZA SAYRA ELIZABETH"/>
    <s v="Psj Sucre espalda del estadio mina de oro"/>
    <x v="2"/>
    <s v="ZONA: SUNAMPE - MINA DE ORO"/>
    <n v="954880763"/>
    <n v="43083022"/>
    <s v="Todos"/>
  </r>
  <r>
    <n v="374"/>
    <s v="MARIA ROSA RODRIGUEZ GONZALES"/>
    <s v="No especificado"/>
    <x v="1"/>
    <s v="ZONA: CRUZ BLANCA VIRGEN CARMEN"/>
    <n v="934618243"/>
    <n v="43593216"/>
    <s v="Todos"/>
  </r>
  <r>
    <n v="380"/>
    <s v="GREGORIO ANTONIO LEVANO RAMIREZ"/>
    <s v="ROSARIO 503"/>
    <x v="0"/>
    <s v="ZONA: PUEBLO - TECHO PROPIO"/>
    <n v="924120953"/>
    <n v="43730793"/>
    <s v="Todos"/>
  </r>
  <r>
    <n v="382"/>
    <s v="MANRIQUE GUERRA ANAIS GIOVANA"/>
    <s v="C.P. CONDORILLO ALTO MZ. I LOTE 10 - CHINCHA ALTA"/>
    <x v="1"/>
    <s v="ZONA: CRUZ BLANCA PARTE BAJA"/>
    <n v="966400170"/>
    <n v="43904606"/>
    <s v="Todos"/>
  </r>
  <r>
    <n v="391"/>
    <s v="JOSE DAVID TASAYCO MATIAS"/>
    <s v="AVDA ALFONSO UGARTE Nro. Puerta 331 08 Antiguo Sunampe - SUNAMPE"/>
    <x v="2"/>
    <s v="ZONA: SUNAMPE – COLEGIO"/>
    <n v="956521517"/>
    <n v="44085244"/>
    <s v="Todos"/>
  </r>
  <r>
    <n v="393"/>
    <s v="EDUARDO ALEXANDER FLORES GONZALES"/>
    <s v="PSJE NAPA Nro. Casa 117 13 Sin Barrio C.P. San Ignacio"/>
    <x v="2"/>
    <s v="ZONA: SUNAMPE – SAN IGNACIO"/>
    <n v="934962269"/>
    <n v="44173471"/>
    <s v="Todos"/>
  </r>
  <r>
    <n v="397"/>
    <s v="VENTURA SALDAÑA JUISSELLA"/>
    <s v="psj. jose olaya cruz blanca"/>
    <x v="1"/>
    <s v="ZONA: CRUZ BLANCA PARTE ALTA oruro"/>
    <n v="949474917"/>
    <n v="44221625"/>
    <s v="Todos"/>
  </r>
  <r>
    <n v="398"/>
    <s v="TASAYCO LOPEZ CARMEN DEL ROSARIO"/>
    <s v="Calle Santa Teresa Lt. 8 (en la misma tienda chipana)"/>
    <x v="2"/>
    <s v="ZONA: SUNAMPE – SANTA FE"/>
    <n v="926265816"/>
    <n v="44249106"/>
    <s v="Todos"/>
  </r>
  <r>
    <n v="399"/>
    <s v="ALEXI XAVIER ATUNCAR MENESES"/>
    <s v="PSJ. LETICIA N°990 - PANAMERICANA SUR (COSTA. BATAN) - CHINCHA"/>
    <x v="1"/>
    <s v="ZONA: CHINCHA - AMERICA"/>
    <n v="971812626"/>
    <n v="44249110"/>
    <s v="Todos"/>
  </r>
  <r>
    <n v="400"/>
    <s v="HERRERA MARTINEZ LUZ MILAGROS"/>
    <s v="Psj. Union Santa rosa  Cruz Blanca"/>
    <x v="1"/>
    <s v="ZONA: CRUZ BLANCA CAMPO"/>
    <n v="941846283"/>
    <n v="44310344"/>
    <s v="Todos"/>
  </r>
  <r>
    <n v="402"/>
    <s v="CARMEN LIDIA CRISOSTOMO SARAVIA"/>
    <s v="PSJE SAN GREGORIO Nro. Puerta 05 Sunampe Antiguo SUNAMPE"/>
    <x v="2"/>
    <s v="ZONA: SUNAMPE – SANTA ROSA"/>
    <n v="907158395"/>
    <n v="44330159"/>
    <s v="Todos"/>
  </r>
  <r>
    <n v="409"/>
    <s v="JOSE CARLOS DE LA CRUZ ALMEYDA"/>
    <s v="PSJE SAN JUAN Nro. Casa 172 03 Sin Barrio Alfonso Ugarte Norte, SUNAMPE"/>
    <x v="2"/>
    <s v="ZONA: SUNAMPE – SAN PILPA"/>
    <n v="995193384"/>
    <n v="44503889"/>
    <s v="Todos"/>
  </r>
  <r>
    <n v="418"/>
    <s v="LIZBETH CRISOSTOMO PACHAS"/>
    <s v="PSJE AMORETTI NRO. PUERTA 588 SUB. 03 SIN BARRIO - SUNAMPE ANTIGUO, SUNAMPE"/>
    <x v="2"/>
    <s v="ZONA: SUNAMPE – PARAISO"/>
    <n v="960329843"/>
    <n v="44699542"/>
    <s v="Todos"/>
  </r>
  <r>
    <n v="422"/>
    <s v="CHRISTIAN NADIR ESTRADA QUINTO"/>
    <s v="AVDA SAN RAFAEL Nro. Tapa Medidor 96029917 0 Barrio Melchorita II GROCIO PRADO"/>
    <x v="2"/>
    <s v="ZONA: SUNAMPE – SAN PILPA"/>
    <n v="995250126"/>
    <n v="44773852"/>
    <s v="Todos"/>
  </r>
  <r>
    <n v="437"/>
    <s v="AVALOS MENDOZA YENY LISSET"/>
    <s v="AVDA HUASCAR Nro. Lote 3 MZ D1 Sin Barrio C.P. San Ignacio , SUNAMPE"/>
    <x v="2"/>
    <s v="ZONA: SUNAMPE – SAN IGNACIO"/>
    <n v="964970347"/>
    <n v="45123508"/>
    <s v="Todos"/>
  </r>
  <r>
    <n v="444"/>
    <s v="GARCIA GARCIA SERGIO ALEXANDER"/>
    <s v="ALVA MAURTUA MZ-SN LT 01 - UR. TOMA DE CALA - CHINCHA ALTA"/>
    <x v="1"/>
    <s v="ZONA: CRUZ BLANCA VIRGEN CARMEN"/>
    <s v="No especificado"/>
    <n v="45247751"/>
    <s v="Todos"/>
  </r>
  <r>
    <n v="447"/>
    <s v="MENDOZA VELASQUEZ MARICRUZ"/>
    <s v="LOS ARENALES, PSJ SANTA ANGELA - CRUZ BLANCA"/>
    <x v="1"/>
    <s v="ZONA: CRUZ BLANCA VIRGEN CARMEN"/>
    <n v="998223499"/>
    <n v="45271647"/>
    <s v="Todos"/>
  </r>
  <r>
    <n v="449"/>
    <s v="ÑAHUIS QUISPE NORY YESENIA"/>
    <s v="AA. HH. BEATA MELCHORITA NRO. I -15 - PUEBLO NUEVO"/>
    <x v="0"/>
    <s v="ZONA: PUEBLO - SALVADOR"/>
    <n v="923818108"/>
    <n v="45456776"/>
    <s v="Todos"/>
  </r>
  <r>
    <n v="450"/>
    <s v="CHACALIAZA ATUNCAR HEBER TOMAS"/>
    <s v="CL SAN VICENTE FERRER NRO. LOTE 01 PSJ. 8 C.P. SAN PEDRO DE PILPA - SUNAMPE"/>
    <x v="2"/>
    <s v="ZONA: SUNAMPE – SAN PILPA"/>
    <n v="955974625"/>
    <n v="45470570"/>
    <s v="Todos"/>
  </r>
  <r>
    <n v="452"/>
    <s v="TITI FLORES MARIA LUISA"/>
    <s v="URB. LEON DE VIVERO NRO. 14-11 - PUEBLO NUEVO"/>
    <x v="0"/>
    <s v="ZONA: PUEBLO - SALVADOR"/>
    <n v="968927286"/>
    <n v="45494884"/>
    <s v="Todos"/>
  </r>
  <r>
    <n v="453"/>
    <s v="MARIANO JANAMPA QUISPE"/>
    <s v="CC.PP NUEVO CONDORILLO - SAN VALENTIN Nro. I-11"/>
    <x v="1"/>
    <s v="ZONA: CRUZ BLANCA CAMPO"/>
    <s v="915 975 003"/>
    <n v="45506015"/>
    <s v="Todos"/>
  </r>
  <r>
    <n v="456"/>
    <s v="KARINA CECILIA MARTINEZ PACHAS"/>
    <s v="MZNA H Nro. Puerta 11 AA.HH. El Salvador PUEBLO NUEVO"/>
    <x v="0"/>
    <s v="ZONA: PUEBLO - SALVADOR"/>
    <n v="904961235"/>
    <n v="45625887"/>
    <s v="Todos"/>
  </r>
  <r>
    <n v="465"/>
    <s v="KATHERINE GIOVANNA PACHAS BARRIOS (WALTER FELIX)"/>
    <s v="BARRIO PORVENIR 485 - GROCIO PRADO"/>
    <x v="3"/>
    <s v="ZONA: GROCIO - EL PORVENIR"/>
    <n v="933844772"/>
    <n v="45783027"/>
    <s v="Todos"/>
  </r>
  <r>
    <n v="467"/>
    <s v="JOSE JOEL TORRES DE LA CRUZ"/>
    <s v="AVDA. EL PORVENIR NRO. 156 - PASO DE GOMEZ - SUNAMPE"/>
    <x v="2"/>
    <s v="ZONA: SUNAMPE – SANTA ROSA"/>
    <n v="997087497"/>
    <n v="45837876"/>
    <s v="Todos"/>
  </r>
  <r>
    <n v="473"/>
    <s v="SUSANA CYNTHIA PACHAS ALMEYDA"/>
    <s v="AV. HUASCAR LT. 01 - C.P. SAN ANTONIO - SUNAMPE"/>
    <x v="2"/>
    <s v="ZONA: SUNAMPE – SAN IGNACIO"/>
    <n v="938774666"/>
    <n v="45944393"/>
    <s v="Todos"/>
  </r>
  <r>
    <n v="474"/>
    <s v="RICARDO SALVADOR ZAMORA SARAVIA"/>
    <s v="HU. CA. ALFONSO UGARTE Nro. MZ X LT 05 GROCIO PRADOCHINCHA"/>
    <x v="3"/>
    <s v="ZONA: GROCIO - EL PORVENIR"/>
    <n v="987388464"/>
    <n v="46026160"/>
    <s v="Todos"/>
  </r>
  <r>
    <n v="478"/>
    <s v="MARIA DEL ROSARIO TASAYCO YATACO"/>
    <s v="AV. PRINCIPAL NRO. 66 SIN BARRIO - C.P. HUACA GRANDE - SUNAMPE"/>
    <x v="2"/>
    <s v="ZONA: SUNAMPE – SAN PILPA"/>
    <n v="987647160"/>
    <n v="46147464"/>
    <s v="Todos"/>
  </r>
  <r>
    <n v="480"/>
    <s v="MIGUEL ANGEL TASAYCO ROJAS"/>
    <s v="JRN 2 DE MAYO Nro. Casa 299 03 Sin Barrio Cercado Chincha Alta, CHINCHA ALTA"/>
    <x v="1"/>
    <s v="ZONA: CRUZ BLANCA PARTE ALTA oruro"/>
    <n v="922868688"/>
    <n v="46230717"/>
    <s v="Todos"/>
  </r>
  <r>
    <n v="485"/>
    <s v="EDITH CAROLINA DE LA CRUZ SOTELO"/>
    <s v="ASOC. NUEVA GENERACION SIGLO XXI MZ. O - LT. 15 - CHINCHA ALTA"/>
    <x v="1"/>
    <s v="ZONA: CRUZ BLANCA VIRGEN CARMEN"/>
    <n v="919585896"/>
    <n v="46402866"/>
    <s v="Todos"/>
  </r>
  <r>
    <n v="499"/>
    <s v="KIARA MELIZA FELIPA YATACO"/>
    <s v="ALFONSO UGARTE - UPIS SAN ANDRES, PASANDO PLAZA DE ARMAS DE SAN ISIDRO"/>
    <x v="0"/>
    <s v="ZONA: PUEBLO - TECHO PROPIO"/>
    <n v="920363453"/>
    <n v="46944616"/>
    <s v="Todos"/>
  </r>
  <r>
    <n v="511"/>
    <s v="NAPA SARAVIA CARLOS ALBERTO"/>
    <s v="AVDA PANAMERICANA SUR NRO. PUERTA 1629"/>
    <x v="3"/>
    <s v="ZONA: GROCIO - MEJILLONEROS"/>
    <s v="No especificado"/>
    <n v="47328216"/>
    <s v="Todos"/>
  </r>
  <r>
    <n v="513"/>
    <s v="ALMEYDA MENDOZA JOSSELIN JANETH"/>
    <s v="AV. PARAISO N° 106 - C.P. LOMO LARGO - SUNAMPE"/>
    <x v="2"/>
    <s v="ZONA: SUNAMPE – SANTA FE"/>
    <n v="997600039"/>
    <n v="47385982"/>
    <s v="Todos"/>
  </r>
  <r>
    <n v="517"/>
    <s v="MELCHORITA VILLANUEVA GUERRA"/>
    <s v="&quot; MZNA Z Nro. Puerta 26 C.P. Condorillo Alto CHINCHA ALTA &quot;"/>
    <x v="1"/>
    <s v="ZONA: CONDORILLO PARTE ALTA"/>
    <n v="913448313"/>
    <n v="47561973"/>
    <s v="Todos"/>
  </r>
  <r>
    <n v="518"/>
    <s v="LUIS JHONNY MATIAS ANTON"/>
    <s v="PSJE JABONCILLO S/N - CHINCHA ALTA"/>
    <x v="1"/>
    <s v="ZONA: CHINCHA - PROGRESO"/>
    <n v="900268302"/>
    <n v="47595296"/>
    <s v="Todos"/>
  </r>
  <r>
    <n v="526"/>
    <s v="TELLO ARMAS JULIAN"/>
    <s v="Invasion de condorillo"/>
    <x v="1"/>
    <s v="ZONA: CRUZ BLANCA CAMPO"/>
    <n v="971344982"/>
    <n v="48224177"/>
    <s v="Todos"/>
  </r>
  <r>
    <n v="527"/>
    <s v="GENTILLE GUTARRA DOMINGO"/>
    <s v="AV. PARAISO N° 201 LOMO LARGO - SUNAMPE"/>
    <x v="2"/>
    <s v="ZONA: SUNAMPE – PARAISO"/>
    <s v="966 187 404"/>
    <n v="48441618"/>
    <s v="Todos"/>
  </r>
  <r>
    <n v="539"/>
    <s v="SAYRITUPAC DIAZ MELUSCA"/>
    <s v="CL. BENAVIDES N° 340, EL PORVENIR - GROCIO PRADO"/>
    <x v="3"/>
    <s v="ZONA: GROCIO - MEJILLONEROS"/>
    <n v="942625411"/>
    <n v="61659340"/>
    <s v="Todos"/>
  </r>
  <r>
    <n v="540"/>
    <s v="SARAVIA ATUNCAR ANGELO ALEXANDER"/>
    <s v="AV. LAS VIÑAS 500-12 - SUNAMPE"/>
    <x v="2"/>
    <s v="ZONA: SUNAMPE – COLEGIO"/>
    <n v="933641287"/>
    <n v="62721790"/>
    <s v="Todos"/>
  </r>
  <r>
    <n v="547"/>
    <s v="SARAVIA DE LA CRUZ GIOVANA FIORELLA"/>
    <s v="CL. 09 DE OCTUBRE N° 211 - CERCADO GROCIO PRADO"/>
    <x v="3"/>
    <s v="ZONA: GROCIO - EL PORVENIR"/>
    <n v="954979068"/>
    <n v="70170364"/>
    <s v="Todos"/>
  </r>
  <r>
    <n v="548"/>
    <s v="NICOL STEFANNY PACHAS YATACO"/>
    <s v="AVDA MINA DE ORO NRO. PUERTA 870 C.P. MINA DE ORO - SUNAMPE"/>
    <x v="2"/>
    <s v="ZONA: SUNAMPE - MINA DE ORO"/>
    <n v="901562811"/>
    <n v="70249185"/>
    <s v="Todos"/>
  </r>
  <r>
    <n v="551"/>
    <s v="MADRID CANDIOTE JINA EMILY"/>
    <s v="PSJE. FELIX NRO. 299-14 - BARRIO MELCHORITA II - GROCIO PRADO"/>
    <x v="3"/>
    <s v="ZONA: GROCIO - MEJILLONEROS"/>
    <n v="937683979"/>
    <n v="70260176"/>
    <s v="Todos"/>
  </r>
  <r>
    <n v="555"/>
    <s v="EVELIN MYLUSCA JUAREZ MUCHAYPIÑA"/>
    <s v="URB. LEON DE VIVERO MZ. 04 LT. 5 - PUEBLO NUEVO"/>
    <x v="0"/>
    <s v="ZONA: PUEBLO - SALVADOR"/>
    <n v="925258512"/>
    <n v="70352237"/>
    <s v="Todos"/>
  </r>
  <r>
    <n v="556"/>
    <s v="MELANY PAOLA TORRES LEVANO"/>
    <s v="AV. MELCHORITA N° 1216 - GROCIO PRADO"/>
    <x v="3"/>
    <s v="ZONA: GROCIO - MEJILLONEROS"/>
    <n v="945999308"/>
    <n v="70362597"/>
    <s v="Todos"/>
  </r>
  <r>
    <n v="576"/>
    <s v="ALVAREZ HERNANDEZ ANA LUCERO"/>
    <s v="AV. ALFONSO UGARTE S/N - PUEBLO NUEVO"/>
    <x v="0"/>
    <s v="ZONA: PUEBLO - SALVADOR"/>
    <s v="984 307 747"/>
    <n v="71479657"/>
    <s v="Todos"/>
  </r>
  <r>
    <n v="577"/>
    <s v="APOLAYA VALDEZ FRESIA FIORELLA"/>
    <s v="PSJ. FELIX NRO. 299-15 - BARRIO MELCHORITA II - GROCIO PRADO"/>
    <x v="3"/>
    <s v="ZONA: GROCIO - MEJILLONEROS"/>
    <n v="962902103"/>
    <n v="71479672"/>
    <s v="Todos"/>
  </r>
  <r>
    <n v="591"/>
    <s v="QUISPE SOTELO LAURO FIDEL"/>
    <s v="PSJE SUCRE Nro. Puerta 467 Sin Barrio C.P. Mina de Oro , SUNAMPE"/>
    <x v="2"/>
    <s v="ZONA: SUNAMPE - MINA DE ORO"/>
    <s v="923 349 317"/>
    <n v="71835943"/>
    <s v="Todos"/>
  </r>
  <r>
    <n v="593"/>
    <s v="JUAN JESUS GUTIERREZ ALMEYDA"/>
    <s v="PSJE 22 DE DICIEMBRE NRO. 406 A - C.P. MONTERRICO - SUNAMPE"/>
    <x v="2"/>
    <s v="ZONA: SUNAMPE – SIMON"/>
    <n v="902338830"/>
    <n v="71908868"/>
    <s v="Todos"/>
  </r>
  <r>
    <n v="594"/>
    <s v="DIAZ QUISPE KAROLAY MIRELLA"/>
    <s v="CALLE LAS VIÑAS S/N - SUNAMPE"/>
    <x v="2"/>
    <s v="ZONA: SUNAMPE – COLEGIO"/>
    <s v="904 277 253"/>
    <n v="71928024"/>
    <s v="Todos"/>
  </r>
  <r>
    <n v="597"/>
    <s v="MUÑOZ ATUNCAR RUBEN CARLOS"/>
    <s v="CALLE SAN PEDRO DE PILPA N° 156-02 - SUNAMPE"/>
    <x v="2"/>
    <s v="ZONA: SUNAMPE – SAN PILPA"/>
    <s v="923 455 593"/>
    <n v="72382087"/>
    <s v="Todos"/>
  </r>
  <r>
    <n v="598"/>
    <s v="KERLY ESTEFANY MESIAS MONROY"/>
    <s v="AVDA SAN MARTIN Nro. Puerta 446 Sin Barrio Sunampe Antiguo, SUNAMPE"/>
    <x v="2"/>
    <s v="ZONA: SUNAMPE – CHACARITA"/>
    <n v="979770491"/>
    <n v="72391087"/>
    <s v="Todos"/>
  </r>
  <r>
    <n v="601"/>
    <s v="FRANCIA FUENTES JOEL ALEXANDER"/>
    <s v="URB. LEON DE VIVERO MZ. I1 - LT. 04 - PUEBLO NUEVO"/>
    <x v="0"/>
    <s v="ZONA: PUEBLO - SALVADOR"/>
    <n v="962662710"/>
    <n v="72517105"/>
    <s v="Todos"/>
  </r>
  <r>
    <n v="603"/>
    <s v="MAYRA LIZETT LEVANO DIAZ"/>
    <s v="PSJE LAS VEGAS MZ.B - LOTE 13 - C.P. MINA DE ORO - SUNAMPE"/>
    <x v="2"/>
    <s v="ZONA: SUNAMPE - MINA DE ORO"/>
    <n v="947368143"/>
    <n v="72691623"/>
    <s v="Todos"/>
  </r>
  <r>
    <n v="604"/>
    <s v="ANA LUCIA ROJAS TORRES"/>
    <s v="PSJE ROJAS SN - CALLE CAMANÁ"/>
    <x v="2"/>
    <s v="ZONA: SUNAMPE – COLEGIO"/>
    <n v="938654341"/>
    <n v="72692981"/>
    <s v="Todos"/>
  </r>
  <r>
    <n v="617"/>
    <s v="MATIAS ROMERO BLANCA ROSA"/>
    <s v="PARAISO S/N - C.P. LOMO LARGO - SUNAMPE - CHINCHA"/>
    <x v="2"/>
    <s v="ZONA: SUNAMPE – PARAISO"/>
    <n v="912095908"/>
    <n v="73175109"/>
    <s v="Todos"/>
  </r>
  <r>
    <n v="619"/>
    <s v="PIERINA BRILLIT ESTEBAN CABRERA"/>
    <s v="PSJE PASO DE GOMEZ NRO. PUERTA 105 C.P. HUACA GRANDE - SUNAMPE"/>
    <x v="2"/>
    <s v="ZONA: SUNAMPE – SANTA ROSA"/>
    <n v="971123157"/>
    <n v="73198106"/>
    <s v="Todos"/>
  </r>
  <r>
    <n v="624"/>
    <s v="CASTAÑEDA MATIAS ROGGER MARTIN"/>
    <s v="Av. las nazarenas huaca grande  - Sunampe mz. a lt. 22"/>
    <x v="2"/>
    <s v="ZONA: SUNAMPE – HUACA GRANDE"/>
    <n v="968825713"/>
    <n v="73338526"/>
    <s v="Todos"/>
  </r>
  <r>
    <n v="634"/>
    <s v="ANTON OSTIA BRYAN LUIS"/>
    <s v="AA.HH. VIRGEN DEL CARMEN MZ. D LT. 17 - CHINCHA ALTA"/>
    <x v="1"/>
    <s v="ZONA: CRUZ BLANCA VIRGEN CARMEN"/>
    <s v="933 949 927"/>
    <n v="73810477"/>
    <s v="Todos"/>
  </r>
  <r>
    <n v="639"/>
    <s v="DAVILA DIAZ HILDA XIOMARA"/>
    <s v="AA.HH. SAN JUDAS TADEO MZ. E LT. 5 - SUNAMPE - CHINCHA"/>
    <x v="2"/>
    <s v="ZONA: SUNAMPE - MINA DE ORO"/>
    <n v="973619478"/>
    <n v="74035877"/>
    <s v="Todos"/>
  </r>
  <r>
    <n v="645"/>
    <s v="APOLAYA CUBILLAS ODALINA ESTEFANY"/>
    <s v="Prolong. Benavides"/>
    <x v="3"/>
    <s v="ZONA: GROCIO - MEJILLONEROS"/>
    <s v="923 241 273"/>
    <n v="74277308"/>
    <s v="Todos"/>
  </r>
  <r>
    <n v="647"/>
    <s v="EDSON RUBEN NAPA CORDOVA (01)"/>
    <s v="SAN PEDRO DE PILPA 133 - SUNAMPE"/>
    <x v="2"/>
    <s v="ZONA: SUNAMPE – SAN PILPA"/>
    <n v="902874390"/>
    <n v="74526307"/>
    <s v="Todos"/>
  </r>
  <r>
    <n v="659"/>
    <s v="ROCIO ESTHER RAMOS FELIPA"/>
    <s v="CL CENTENARIO NRO. PUERTA 155 - GROCIO PRADO"/>
    <x v="0"/>
    <s v="ZONA: PUEBLO - TECHO PROPIO"/>
    <s v="977 326 638"/>
    <n v="75423085"/>
    <s v="Todos"/>
  </r>
  <r>
    <n v="668"/>
    <s v="MANUEL ANTONIO UCEDA PALOMINO"/>
    <s v="CL SAN MARCELO Nro. Puerta 101 1C Sunampe Antiguo SUNAMPE"/>
    <x v="2"/>
    <s v="ZONA: SUNAMPE – VILLA JULIA"/>
    <n v="935686349"/>
    <n v="75691870"/>
    <s v="Todos"/>
  </r>
  <r>
    <n v="673"/>
    <s v="CLAUDIA ISABEL MESIAS CARBAJAL"/>
    <s v="AVDA VICTORIA Nro. Puerta 332 Cercado Chincha Alta"/>
    <x v="1"/>
    <s v="ZONA: CHINCHA - AMERICA"/>
    <n v="906679025"/>
    <n v="75811874"/>
    <s v="Todos"/>
  </r>
  <r>
    <n v="680"/>
    <s v="MAHALI NOEMI MERALI CASTAÑEDA SULCA"/>
    <s v="CC.PP NUEVO CONDORILLO - SAN VALENTIN G-2 - CHINCHA ALTA"/>
    <x v="1"/>
    <s v="ZONA: CRUZ BLANCA CAMPO"/>
    <n v="930788527"/>
    <n v="75957605"/>
    <s v="Todos"/>
  </r>
  <r>
    <n v="682"/>
    <s v="DIAZ CHUMBIAUCA GIANCARLO"/>
    <s v="PSJE EMANCIPACION MZ. H LT. 09 - C.P. HUACA GRANDE - SUNAMPE"/>
    <x v="2"/>
    <s v="ZONA: SUNAMPE – COLEGIO"/>
    <n v="955158903"/>
    <n v="75985857"/>
    <s v="Todos"/>
  </r>
  <r>
    <n v="683"/>
    <s v="MAGALLANES CASAS VICTOR ALEXANDER"/>
    <s v="Cruz blanca pasaje los ciruelos 207 - B"/>
    <x v="1"/>
    <s v="ZONA: CRUZ BLANCA CAMPO"/>
    <s v="912 616 041"/>
    <n v="76000980"/>
    <s v="Todos"/>
  </r>
  <r>
    <n v="685"/>
    <s v="ADEMIR TASAYCO DE LA CRUZ"/>
    <s v="PSJE SANTA MARIA Nro. 401 Cercado de Chincha Alta CHINCHA ALTA"/>
    <x v="1"/>
    <s v="ZONA: CHINCHA - AMERICA"/>
    <n v="931906915"/>
    <n v="76029293"/>
    <s v="Todos"/>
  </r>
  <r>
    <n v="687"/>
    <s v="ELITA TAMANI PACAYA (HENRY FLORES L.)"/>
    <s v="CARR SUNAMPE NRO. PUERTA 391 B C.P. HUACA GRANDE - SUNAMPE"/>
    <x v="2"/>
    <s v="ZONA: SUNAMPE – SAN IGNACIO"/>
    <n v="934500127"/>
    <n v="76044922"/>
    <s v="Todos"/>
  </r>
  <r>
    <n v="688"/>
    <s v="MARIA DEL ROSARIO ALCALA JACOBO"/>
    <s v="CL. 28 DE JULIO NRO. PUERTA 115 - SUNAMPE"/>
    <x v="2"/>
    <s v="ZONA: SUNAMPE – CALLE LIMA"/>
    <n v="982895226"/>
    <n v="76064207"/>
    <s v="Todos"/>
  </r>
  <r>
    <n v="690"/>
    <s v="JONATHAN ALEXIS GOMEZ REYNO"/>
    <s v="VILLA CRUZ mz. H lt. 10"/>
    <x v="0"/>
    <s v="Zona: Rosedal"/>
    <n v="981678201"/>
    <n v="76139722"/>
    <s v="Todos"/>
  </r>
  <r>
    <n v="692"/>
    <s v="MILAGROS ISABEL VASQUEZ TIPIAN"/>
    <s v="AVDA SAN RAFAEL Nro. Tapa Medidor 96029917 0 Barrio Melchorita II GROCIO PRADO"/>
    <x v="3"/>
    <s v="ZONA: GROCIO - EL PORVENIR"/>
    <s v="918 232 259"/>
    <n v="76295361"/>
    <s v="Todos"/>
  </r>
  <r>
    <n v="702"/>
    <s v="ELIZABETH FIORELLA CHUQUISPUMA BRICEÑO"/>
    <s v="C.P. CONDORILLO ALTO MZ. O - LT. 2A - CHINCHA ALTA"/>
    <x v="1"/>
    <s v="ZONA: CONDORILLO PARTE BAJA"/>
    <n v="966322316"/>
    <n v="76815125"/>
    <s v="Todos"/>
  </r>
  <r>
    <n v="707"/>
    <s v="YHOJAN DEYVID YATACO QUISPE"/>
    <s v="EL SALVADOR - MZ P1 LT-6 - 1 LT. 1B - A.H. MIGUEL GRAU - PUEBLO NUEVO"/>
    <x v="0"/>
    <s v="ZONA: PUEBLO - SALVADOR"/>
    <n v="917347669"/>
    <n v="77132367"/>
    <s v="Todos"/>
  </r>
  <r>
    <n v="715"/>
    <s v="CESAR ALEXANDER YATACO VALVERDE"/>
    <s v="MZNA B Nro. Lote 10 A. H. VILLA ESPERANZA C.P. Mina de Oro, SUNAMPE"/>
    <x v="2"/>
    <s v="ZONA: SUNAMPE - MINA DE ORO"/>
    <n v="917331560"/>
    <n v="77815510"/>
    <s v="Todos"/>
  </r>
  <r>
    <n v="717"/>
    <s v="CLEYS TAYLOR QUISPE CUEVA"/>
    <s v="MZNA J Nro Casa 11 Sin Barrio AA. HH. Las Rocas"/>
    <x v="0"/>
    <s v="ZONA: PUEBLO - SATELITE - ROCAS"/>
    <n v="922981782"/>
    <n v="80047199"/>
    <s v="Tod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A2834-7CE2-4C64-9837-5FDE5C375F4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STRITOS">
  <location ref="B6:C12" firstHeaderRow="1" firstDataRow="1" firstDataCol="1"/>
  <pivotFields count="8">
    <pivotField showAll="0"/>
    <pivotField dataField="1"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H729"/>
  <sheetViews>
    <sheetView zoomScale="85" zoomScaleNormal="85" workbookViewId="0">
      <selection activeCell="D300" sqref="D300"/>
    </sheetView>
  </sheetViews>
  <sheetFormatPr baseColWidth="10" defaultRowHeight="14.4"/>
  <cols>
    <col min="1" max="1" width="6.5546875" customWidth="1"/>
    <col min="2" max="2" width="8.109375" style="2" customWidth="1"/>
    <col min="3" max="3" width="54" customWidth="1"/>
    <col min="4" max="4" width="81" customWidth="1"/>
    <col min="5" max="5" width="45.88671875" customWidth="1"/>
    <col min="6" max="6" width="16.33203125" customWidth="1"/>
    <col min="7" max="7" width="14.88671875" customWidth="1"/>
    <col min="8" max="8" width="55.109375" customWidth="1"/>
  </cols>
  <sheetData>
    <row r="1" spans="2:8">
      <c r="B1" s="20"/>
      <c r="C1" s="20"/>
      <c r="D1" s="20"/>
      <c r="E1" s="20"/>
      <c r="F1" s="20"/>
      <c r="G1" s="20"/>
    </row>
    <row r="2" spans="2:8" ht="17.399999999999999" customHeight="1">
      <c r="B2" s="6" t="s">
        <v>1569</v>
      </c>
      <c r="C2" s="5" t="s">
        <v>1568</v>
      </c>
      <c r="D2" s="5" t="s">
        <v>1567</v>
      </c>
      <c r="E2" s="5" t="s">
        <v>1566</v>
      </c>
      <c r="F2" s="5" t="s">
        <v>1565</v>
      </c>
      <c r="G2" s="5" t="s">
        <v>1564</v>
      </c>
      <c r="H2" s="10" t="s">
        <v>1721</v>
      </c>
    </row>
    <row r="3" spans="2:8" ht="17.399999999999999" customHeight="1">
      <c r="B3" s="4">
        <v>1</v>
      </c>
      <c r="C3" s="3" t="s">
        <v>0</v>
      </c>
      <c r="D3" s="3" t="s">
        <v>1</v>
      </c>
      <c r="E3" s="3" t="s">
        <v>2</v>
      </c>
      <c r="F3" s="3">
        <v>934500127</v>
      </c>
      <c r="G3" s="3">
        <v>76044922</v>
      </c>
      <c r="H3" t="e">
        <f>VLOOKUP(G3,consolidado!$A$2:$B$656,2,FALSE)</f>
        <v>#N/A</v>
      </c>
    </row>
    <row r="4" spans="2:8" ht="17.399999999999999" hidden="1" customHeight="1">
      <c r="B4" s="4">
        <v>2</v>
      </c>
      <c r="C4" s="3" t="s">
        <v>3</v>
      </c>
      <c r="D4" s="3" t="s">
        <v>4</v>
      </c>
      <c r="E4" s="3" t="s">
        <v>5</v>
      </c>
      <c r="F4" s="3">
        <v>998530990</v>
      </c>
      <c r="G4" s="3">
        <v>43312934</v>
      </c>
      <c r="H4" t="e">
        <f>VLOOKUP(G4,consolidado!$A$2:$B$656,2,FALSE)</f>
        <v>#N/A</v>
      </c>
    </row>
    <row r="5" spans="2:8" ht="17.399999999999999" hidden="1" customHeight="1">
      <c r="B5" s="4">
        <v>3</v>
      </c>
      <c r="C5" s="3" t="s">
        <v>6</v>
      </c>
      <c r="D5" s="3" t="s">
        <v>7</v>
      </c>
      <c r="E5" s="3" t="s">
        <v>8</v>
      </c>
      <c r="F5" s="3">
        <v>979420182</v>
      </c>
      <c r="G5" s="3">
        <v>40339325</v>
      </c>
      <c r="H5" t="e">
        <f>VLOOKUP(G5,consolidado!$A$2:$B$656,2,FALSE)</f>
        <v>#N/A</v>
      </c>
    </row>
    <row r="6" spans="2:8" ht="17.399999999999999" hidden="1" customHeight="1">
      <c r="B6" s="4">
        <v>4</v>
      </c>
      <c r="C6" s="3" t="s">
        <v>9</v>
      </c>
      <c r="D6" s="3" t="s">
        <v>10</v>
      </c>
      <c r="E6" s="3" t="s">
        <v>11</v>
      </c>
      <c r="F6" s="3">
        <v>936691447</v>
      </c>
      <c r="G6" s="3">
        <v>47353719</v>
      </c>
      <c r="H6" t="e">
        <f>VLOOKUP(G6,consolidado!$A$2:$B$656,2,FALSE)</f>
        <v>#N/A</v>
      </c>
    </row>
    <row r="7" spans="2:8" ht="17.399999999999999" hidden="1" customHeight="1">
      <c r="B7" s="4">
        <v>5</v>
      </c>
      <c r="C7" s="3" t="s">
        <v>12</v>
      </c>
      <c r="D7" s="3" t="s">
        <v>13</v>
      </c>
      <c r="E7" s="3" t="s">
        <v>14</v>
      </c>
      <c r="F7" s="3">
        <v>925019236</v>
      </c>
      <c r="G7" s="3">
        <v>21869870</v>
      </c>
      <c r="H7" t="e">
        <f>VLOOKUP(G7,consolidado!$A$2:$B$656,2,FALSE)</f>
        <v>#N/A</v>
      </c>
    </row>
    <row r="8" spans="2:8" ht="17.399999999999999" hidden="1" customHeight="1">
      <c r="B8" s="4">
        <v>6</v>
      </c>
      <c r="C8" s="3" t="s">
        <v>15</v>
      </c>
      <c r="D8" s="3" t="s">
        <v>16</v>
      </c>
      <c r="E8" s="3" t="s">
        <v>11</v>
      </c>
      <c r="F8" s="3">
        <v>956698366</v>
      </c>
      <c r="G8" s="3">
        <v>21782120</v>
      </c>
      <c r="H8" t="e">
        <f>VLOOKUP(G8,consolidado!$A$2:$B$656,2,FALSE)</f>
        <v>#N/A</v>
      </c>
    </row>
    <row r="9" spans="2:8" ht="17.399999999999999" hidden="1" customHeight="1">
      <c r="B9" s="4">
        <v>7</v>
      </c>
      <c r="C9" s="3" t="s">
        <v>17</v>
      </c>
      <c r="D9" s="3" t="s">
        <v>18</v>
      </c>
      <c r="E9" s="3" t="s">
        <v>19</v>
      </c>
      <c r="F9" s="3">
        <v>945857289</v>
      </c>
      <c r="G9" s="3">
        <v>41576648</v>
      </c>
      <c r="H9" t="e">
        <f>VLOOKUP(G9,consolidado!$A$2:$B$656,2,FALSE)</f>
        <v>#N/A</v>
      </c>
    </row>
    <row r="10" spans="2:8" ht="17.399999999999999" hidden="1" customHeight="1">
      <c r="B10" s="4">
        <v>8</v>
      </c>
      <c r="C10" s="3" t="s">
        <v>20</v>
      </c>
      <c r="D10" s="3" t="s">
        <v>21</v>
      </c>
      <c r="E10" s="3" t="s">
        <v>22</v>
      </c>
      <c r="F10" s="3">
        <v>967061773</v>
      </c>
      <c r="G10" s="3">
        <v>75347649</v>
      </c>
      <c r="H10" t="e">
        <f>VLOOKUP(G10,consolidado!$A$2:$B$656,2,FALSE)</f>
        <v>#N/A</v>
      </c>
    </row>
    <row r="11" spans="2:8" ht="17.399999999999999" hidden="1" customHeight="1">
      <c r="B11" s="4">
        <v>9</v>
      </c>
      <c r="C11" s="3" t="s">
        <v>23</v>
      </c>
      <c r="D11" s="3" t="s">
        <v>24</v>
      </c>
      <c r="E11" s="3" t="s">
        <v>22</v>
      </c>
      <c r="F11" s="3">
        <v>913789112</v>
      </c>
      <c r="G11" s="3">
        <v>47516353</v>
      </c>
      <c r="H11" t="e">
        <f>VLOOKUP(G11,consolidado!$A$2:$B$656,2,FALSE)</f>
        <v>#N/A</v>
      </c>
    </row>
    <row r="12" spans="2:8" ht="17.399999999999999" hidden="1" customHeight="1">
      <c r="B12" s="4">
        <v>10</v>
      </c>
      <c r="C12" s="3" t="s">
        <v>25</v>
      </c>
      <c r="D12" s="3" t="s">
        <v>26</v>
      </c>
      <c r="E12" s="3" t="s">
        <v>27</v>
      </c>
      <c r="F12" s="3">
        <v>923757401</v>
      </c>
      <c r="G12" s="3">
        <v>32872532</v>
      </c>
      <c r="H12" t="e">
        <f>VLOOKUP(G12,consolidado!$A$2:$B$656,2,FALSE)</f>
        <v>#N/A</v>
      </c>
    </row>
    <row r="13" spans="2:8" ht="17.399999999999999" hidden="1" customHeight="1">
      <c r="B13" s="4">
        <v>11</v>
      </c>
      <c r="C13" s="3" t="s">
        <v>28</v>
      </c>
      <c r="D13" s="3" t="s">
        <v>29</v>
      </c>
      <c r="E13" s="3" t="s">
        <v>19</v>
      </c>
      <c r="F13" s="3">
        <v>918104510</v>
      </c>
      <c r="G13" s="3">
        <v>77564718</v>
      </c>
      <c r="H13" t="e">
        <f>VLOOKUP(G13,consolidado!$A$2:$B$656,2,FALSE)</f>
        <v>#N/A</v>
      </c>
    </row>
    <row r="14" spans="2:8" ht="17.399999999999999" hidden="1" customHeight="1">
      <c r="B14" s="4">
        <v>12</v>
      </c>
      <c r="C14" s="3" t="s">
        <v>30</v>
      </c>
      <c r="D14" s="3" t="s">
        <v>31</v>
      </c>
      <c r="E14" s="3" t="s">
        <v>27</v>
      </c>
      <c r="F14" s="3">
        <v>917631665</v>
      </c>
      <c r="G14" s="3">
        <v>40231558</v>
      </c>
      <c r="H14" t="e">
        <f>VLOOKUP(G14,consolidado!$A$2:$B$656,2,FALSE)</f>
        <v>#N/A</v>
      </c>
    </row>
    <row r="15" spans="2:8" ht="17.399999999999999" hidden="1" customHeight="1">
      <c r="B15" s="4">
        <v>13</v>
      </c>
      <c r="C15" s="3" t="s">
        <v>32</v>
      </c>
      <c r="D15" s="3" t="s">
        <v>33</v>
      </c>
      <c r="E15" s="3" t="s">
        <v>22</v>
      </c>
      <c r="F15" s="3">
        <v>987013897</v>
      </c>
      <c r="G15" s="3">
        <v>42567350</v>
      </c>
      <c r="H15" t="e">
        <f>VLOOKUP(G15,consolidado!$A$2:$B$656,2,FALSE)</f>
        <v>#N/A</v>
      </c>
    </row>
    <row r="16" spans="2:8" ht="17.399999999999999" hidden="1" customHeight="1">
      <c r="B16" s="4">
        <v>14</v>
      </c>
      <c r="C16" s="3" t="s">
        <v>34</v>
      </c>
      <c r="D16" s="3" t="s">
        <v>35</v>
      </c>
      <c r="E16" s="3" t="s">
        <v>36</v>
      </c>
      <c r="F16" s="3" t="s">
        <v>37</v>
      </c>
      <c r="G16" s="3">
        <v>45123518</v>
      </c>
      <c r="H16" t="e">
        <f>VLOOKUP(G16,consolidado!$A$2:$B$656,2,FALSE)</f>
        <v>#N/A</v>
      </c>
    </row>
    <row r="17" spans="2:8" ht="17.399999999999999" hidden="1" customHeight="1">
      <c r="B17" s="4">
        <v>15</v>
      </c>
      <c r="C17" s="3" t="s">
        <v>38</v>
      </c>
      <c r="D17" s="3" t="s">
        <v>39</v>
      </c>
      <c r="E17" s="3" t="s">
        <v>19</v>
      </c>
      <c r="F17" s="3">
        <v>991427548</v>
      </c>
      <c r="G17" s="3">
        <v>41164414</v>
      </c>
      <c r="H17" t="e">
        <f>VLOOKUP(G17,consolidado!$A$2:$B$656,2,FALSE)</f>
        <v>#N/A</v>
      </c>
    </row>
    <row r="18" spans="2:8" ht="17.399999999999999" hidden="1" customHeight="1">
      <c r="B18" s="4">
        <v>16</v>
      </c>
      <c r="C18" s="3" t="s">
        <v>40</v>
      </c>
      <c r="D18" s="3" t="s">
        <v>41</v>
      </c>
      <c r="E18" s="3" t="s">
        <v>19</v>
      </c>
      <c r="F18" s="3">
        <v>922427114</v>
      </c>
      <c r="G18" s="3">
        <v>21878769</v>
      </c>
      <c r="H18" t="e">
        <f>VLOOKUP(G18,consolidado!$A$2:$B$656,2,FALSE)</f>
        <v>#N/A</v>
      </c>
    </row>
    <row r="19" spans="2:8" ht="17.399999999999999" hidden="1" customHeight="1">
      <c r="B19" s="4">
        <v>17</v>
      </c>
      <c r="C19" s="3" t="s">
        <v>42</v>
      </c>
      <c r="D19" s="3" t="s">
        <v>43</v>
      </c>
      <c r="E19" s="3" t="s">
        <v>27</v>
      </c>
      <c r="F19" s="3">
        <v>966242063</v>
      </c>
      <c r="G19" s="3">
        <v>21862703</v>
      </c>
      <c r="H19" t="e">
        <f>VLOOKUP(G19,consolidado!$A$2:$B$656,2,FALSE)</f>
        <v>#N/A</v>
      </c>
    </row>
    <row r="20" spans="2:8" ht="17.399999999999999" hidden="1" customHeight="1">
      <c r="B20" s="4">
        <v>18</v>
      </c>
      <c r="C20" s="3" t="s">
        <v>44</v>
      </c>
      <c r="D20" s="3" t="s">
        <v>45</v>
      </c>
      <c r="E20" s="3" t="s">
        <v>22</v>
      </c>
      <c r="F20" s="3">
        <v>938429070</v>
      </c>
      <c r="G20" s="3">
        <v>21854378</v>
      </c>
      <c r="H20" t="e">
        <f>VLOOKUP(G20,consolidado!$A$2:$B$656,2,FALSE)</f>
        <v>#N/A</v>
      </c>
    </row>
    <row r="21" spans="2:8" ht="17.399999999999999" hidden="1" customHeight="1">
      <c r="B21" s="4">
        <v>19</v>
      </c>
      <c r="C21" s="3" t="s">
        <v>46</v>
      </c>
      <c r="D21" s="3" t="s">
        <v>47</v>
      </c>
      <c r="E21" s="3" t="s">
        <v>19</v>
      </c>
      <c r="F21" s="3">
        <v>972287862</v>
      </c>
      <c r="G21" s="3">
        <v>46928659</v>
      </c>
      <c r="H21" t="e">
        <f>VLOOKUP(G21,consolidado!$A$2:$B$656,2,FALSE)</f>
        <v>#N/A</v>
      </c>
    </row>
    <row r="22" spans="2:8" ht="17.399999999999999" hidden="1" customHeight="1">
      <c r="B22" s="4">
        <v>20</v>
      </c>
      <c r="C22" s="3" t="s">
        <v>48</v>
      </c>
      <c r="D22" s="3" t="s">
        <v>49</v>
      </c>
      <c r="E22" s="3" t="s">
        <v>36</v>
      </c>
      <c r="F22" s="3">
        <v>965189450</v>
      </c>
      <c r="G22" s="3">
        <v>21848813</v>
      </c>
      <c r="H22" t="e">
        <f>VLOOKUP(G22,consolidado!$A$2:$B$656,2,FALSE)</f>
        <v>#N/A</v>
      </c>
    </row>
    <row r="23" spans="2:8" ht="17.399999999999999" hidden="1" customHeight="1">
      <c r="B23" s="4">
        <v>21</v>
      </c>
      <c r="C23" s="3" t="s">
        <v>50</v>
      </c>
      <c r="D23" s="3" t="s">
        <v>51</v>
      </c>
      <c r="E23" s="3" t="s">
        <v>19</v>
      </c>
      <c r="F23" s="3" t="s">
        <v>52</v>
      </c>
      <c r="G23" s="3">
        <v>46250661</v>
      </c>
      <c r="H23" t="e">
        <f>VLOOKUP(G23,consolidado!$A$2:$B$656,2,FALSE)</f>
        <v>#N/A</v>
      </c>
    </row>
    <row r="24" spans="2:8" ht="17.399999999999999" hidden="1" customHeight="1">
      <c r="B24" s="4">
        <v>22</v>
      </c>
      <c r="C24" s="3" t="s">
        <v>53</v>
      </c>
      <c r="D24" s="3" t="s">
        <v>54</v>
      </c>
      <c r="E24" s="3" t="s">
        <v>14</v>
      </c>
      <c r="F24" s="3">
        <v>922393873</v>
      </c>
      <c r="G24" s="3">
        <v>21854605</v>
      </c>
      <c r="H24" t="e">
        <f>VLOOKUP(G24,consolidado!$A$2:$B$656,2,FALSE)</f>
        <v>#N/A</v>
      </c>
    </row>
    <row r="25" spans="2:8" ht="17.399999999999999" hidden="1" customHeight="1">
      <c r="B25" s="4">
        <v>23</v>
      </c>
      <c r="C25" s="3" t="s">
        <v>55</v>
      </c>
      <c r="D25" s="3" t="s">
        <v>56</v>
      </c>
      <c r="E25" s="3" t="s">
        <v>36</v>
      </c>
      <c r="F25" s="3">
        <v>914013935</v>
      </c>
      <c r="G25" s="3">
        <v>21854743</v>
      </c>
      <c r="H25" t="e">
        <f>VLOOKUP(G25,consolidado!$A$2:$B$656,2,FALSE)</f>
        <v>#N/A</v>
      </c>
    </row>
    <row r="26" spans="2:8" ht="17.399999999999999" hidden="1" customHeight="1">
      <c r="B26" s="4">
        <v>24</v>
      </c>
      <c r="C26" s="3" t="s">
        <v>57</v>
      </c>
      <c r="D26" s="3" t="s">
        <v>58</v>
      </c>
      <c r="E26" s="3" t="s">
        <v>36</v>
      </c>
      <c r="F26" s="3">
        <v>902642312</v>
      </c>
      <c r="G26" s="3">
        <v>46175442</v>
      </c>
      <c r="H26" t="e">
        <f>VLOOKUP(G26,consolidado!$A$2:$B$656,2,FALSE)</f>
        <v>#N/A</v>
      </c>
    </row>
    <row r="27" spans="2:8" ht="17.399999999999999" hidden="1" customHeight="1">
      <c r="B27" s="4">
        <v>25</v>
      </c>
      <c r="C27" s="3" t="s">
        <v>59</v>
      </c>
      <c r="D27" s="3" t="s">
        <v>60</v>
      </c>
      <c r="E27" s="3" t="s">
        <v>22</v>
      </c>
      <c r="F27" s="3">
        <v>923311111</v>
      </c>
      <c r="G27" s="3">
        <v>47144583</v>
      </c>
      <c r="H27" t="e">
        <f>VLOOKUP(G27,consolidado!$A$2:$B$656,2,FALSE)</f>
        <v>#N/A</v>
      </c>
    </row>
    <row r="28" spans="2:8" ht="17.399999999999999" hidden="1" customHeight="1">
      <c r="B28" s="4">
        <v>26</v>
      </c>
      <c r="C28" s="3" t="s">
        <v>61</v>
      </c>
      <c r="D28" s="3" t="s">
        <v>62</v>
      </c>
      <c r="E28" s="3" t="s">
        <v>14</v>
      </c>
      <c r="F28" s="3">
        <v>979645543</v>
      </c>
      <c r="G28" s="3">
        <v>41971143</v>
      </c>
      <c r="H28" t="e">
        <f>VLOOKUP(G28,consolidado!$A$2:$B$656,2,FALSE)</f>
        <v>#N/A</v>
      </c>
    </row>
    <row r="29" spans="2:8" ht="17.399999999999999" hidden="1" customHeight="1">
      <c r="B29" s="4">
        <v>27</v>
      </c>
      <c r="C29" s="3" t="s">
        <v>63</v>
      </c>
      <c r="D29" s="3" t="s">
        <v>64</v>
      </c>
      <c r="E29" s="3" t="s">
        <v>27</v>
      </c>
      <c r="F29" s="3">
        <v>925064547</v>
      </c>
      <c r="G29" s="3">
        <v>21797192</v>
      </c>
      <c r="H29" t="e">
        <f>VLOOKUP(G29,consolidado!$A$2:$B$656,2,FALSE)</f>
        <v>#N/A</v>
      </c>
    </row>
    <row r="30" spans="2:8" ht="17.399999999999999" hidden="1" customHeight="1">
      <c r="B30" s="4">
        <v>28</v>
      </c>
      <c r="C30" s="3" t="s">
        <v>65</v>
      </c>
      <c r="D30" s="3" t="s">
        <v>66</v>
      </c>
      <c r="E30" s="3" t="s">
        <v>27</v>
      </c>
      <c r="F30" s="3">
        <v>960544540</v>
      </c>
      <c r="G30" s="3">
        <v>45082671</v>
      </c>
      <c r="H30" t="e">
        <f>VLOOKUP(G30,consolidado!$A$2:$B$656,2,FALSE)</f>
        <v>#N/A</v>
      </c>
    </row>
    <row r="31" spans="2:8" ht="17.399999999999999" hidden="1" customHeight="1">
      <c r="B31" s="4">
        <v>29</v>
      </c>
      <c r="C31" s="3" t="s">
        <v>67</v>
      </c>
      <c r="D31" s="3" t="s">
        <v>68</v>
      </c>
      <c r="E31" s="3" t="s">
        <v>27</v>
      </c>
      <c r="F31" s="3">
        <v>975537912</v>
      </c>
      <c r="G31" s="3">
        <v>21869687</v>
      </c>
      <c r="H31" t="e">
        <f>VLOOKUP(G31,consolidado!$A$2:$B$656,2,FALSE)</f>
        <v>#N/A</v>
      </c>
    </row>
    <row r="32" spans="2:8" ht="17.399999999999999" hidden="1" customHeight="1">
      <c r="B32" s="4">
        <v>30</v>
      </c>
      <c r="C32" s="3" t="s">
        <v>69</v>
      </c>
      <c r="D32" s="3" t="s">
        <v>70</v>
      </c>
      <c r="E32" s="3" t="s">
        <v>71</v>
      </c>
      <c r="F32" s="3">
        <v>956118797</v>
      </c>
      <c r="G32" s="3">
        <v>21877560</v>
      </c>
      <c r="H32" t="e">
        <f>VLOOKUP(G32,consolidado!$A$2:$B$656,2,FALSE)</f>
        <v>#N/A</v>
      </c>
    </row>
    <row r="33" spans="2:8" ht="17.399999999999999" hidden="1" customHeight="1">
      <c r="B33" s="4">
        <v>31</v>
      </c>
      <c r="C33" s="3" t="s">
        <v>72</v>
      </c>
      <c r="D33" s="3" t="s">
        <v>73</v>
      </c>
      <c r="E33" s="3" t="s">
        <v>2</v>
      </c>
      <c r="F33" s="3">
        <v>938358973</v>
      </c>
      <c r="G33" s="3">
        <v>46294714</v>
      </c>
      <c r="H33" t="e">
        <f>VLOOKUP(G33,consolidado!$A$2:$B$656,2,FALSE)</f>
        <v>#N/A</v>
      </c>
    </row>
    <row r="34" spans="2:8" ht="17.399999999999999" hidden="1" customHeight="1">
      <c r="B34" s="4">
        <v>32</v>
      </c>
      <c r="C34" s="3" t="s">
        <v>74</v>
      </c>
      <c r="D34" s="3" t="s">
        <v>75</v>
      </c>
      <c r="E34" s="3" t="s">
        <v>2</v>
      </c>
      <c r="F34" s="3">
        <v>922771211</v>
      </c>
      <c r="G34" s="3">
        <v>21845817</v>
      </c>
      <c r="H34" t="e">
        <f>VLOOKUP(G34,consolidado!$A$2:$B$656,2,FALSE)</f>
        <v>#N/A</v>
      </c>
    </row>
    <row r="35" spans="2:8" ht="17.399999999999999" hidden="1" customHeight="1">
      <c r="B35" s="4">
        <v>33</v>
      </c>
      <c r="C35" s="3" t="s">
        <v>76</v>
      </c>
      <c r="D35" s="3" t="s">
        <v>77</v>
      </c>
      <c r="E35" s="3" t="s">
        <v>2</v>
      </c>
      <c r="F35" s="3">
        <v>936972485</v>
      </c>
      <c r="G35" s="3">
        <v>41615897</v>
      </c>
      <c r="H35" t="e">
        <f>VLOOKUP(G35,consolidado!$A$2:$B$656,2,FALSE)</f>
        <v>#N/A</v>
      </c>
    </row>
    <row r="36" spans="2:8" ht="17.399999999999999" hidden="1" customHeight="1">
      <c r="B36" s="4">
        <v>34</v>
      </c>
      <c r="C36" s="3" t="s">
        <v>78</v>
      </c>
      <c r="D36" s="3" t="s">
        <v>79</v>
      </c>
      <c r="E36" s="3" t="s">
        <v>27</v>
      </c>
      <c r="F36" s="3">
        <v>947107155</v>
      </c>
      <c r="G36" s="3">
        <v>41874688</v>
      </c>
      <c r="H36" t="e">
        <f>VLOOKUP(G36,consolidado!$A$2:$B$656,2,FALSE)</f>
        <v>#N/A</v>
      </c>
    </row>
    <row r="37" spans="2:8" ht="17.399999999999999" hidden="1" customHeight="1">
      <c r="B37" s="4">
        <v>35</v>
      </c>
      <c r="C37" s="3" t="s">
        <v>80</v>
      </c>
      <c r="D37" s="3" t="s">
        <v>81</v>
      </c>
      <c r="E37" s="3" t="s">
        <v>27</v>
      </c>
      <c r="F37" s="3">
        <v>977787595</v>
      </c>
      <c r="G37" s="3">
        <v>47163450</v>
      </c>
      <c r="H37" t="e">
        <f>VLOOKUP(G37,consolidado!$A$2:$B$656,2,FALSE)</f>
        <v>#N/A</v>
      </c>
    </row>
    <row r="38" spans="2:8" ht="17.399999999999999" hidden="1" customHeight="1">
      <c r="B38" s="4">
        <v>36</v>
      </c>
      <c r="C38" s="3" t="s">
        <v>82</v>
      </c>
      <c r="D38" s="3" t="s">
        <v>83</v>
      </c>
      <c r="E38" s="3" t="s">
        <v>22</v>
      </c>
      <c r="F38" s="3">
        <v>925286131</v>
      </c>
      <c r="G38" s="3">
        <v>40521896</v>
      </c>
      <c r="H38" t="e">
        <f>VLOOKUP(G38,consolidado!$A$2:$B$656,2,FALSE)</f>
        <v>#N/A</v>
      </c>
    </row>
    <row r="39" spans="2:8" ht="17.399999999999999" hidden="1" customHeight="1">
      <c r="B39" s="4">
        <v>37</v>
      </c>
      <c r="C39" s="3" t="s">
        <v>84</v>
      </c>
      <c r="D39" s="3" t="s">
        <v>85</v>
      </c>
      <c r="E39" s="3" t="s">
        <v>27</v>
      </c>
      <c r="F39" s="3">
        <v>984262279</v>
      </c>
      <c r="G39" s="3">
        <v>41300828</v>
      </c>
      <c r="H39" t="e">
        <f>VLOOKUP(G39,consolidado!$A$2:$B$656,2,FALSE)</f>
        <v>#N/A</v>
      </c>
    </row>
    <row r="40" spans="2:8" ht="17.399999999999999" hidden="1" customHeight="1">
      <c r="B40" s="4">
        <v>38</v>
      </c>
      <c r="C40" s="3" t="s">
        <v>86</v>
      </c>
      <c r="D40" s="3" t="s">
        <v>87</v>
      </c>
      <c r="E40" s="3" t="s">
        <v>5</v>
      </c>
      <c r="F40" s="3">
        <v>915384222</v>
      </c>
      <c r="G40" s="3">
        <v>72761675</v>
      </c>
      <c r="H40" t="e">
        <f>VLOOKUP(G40,consolidado!$A$2:$B$656,2,FALSE)</f>
        <v>#N/A</v>
      </c>
    </row>
    <row r="41" spans="2:8" ht="17.399999999999999" hidden="1" customHeight="1">
      <c r="B41" s="4">
        <v>39</v>
      </c>
      <c r="C41" s="3" t="s">
        <v>88</v>
      </c>
      <c r="D41" s="3" t="s">
        <v>89</v>
      </c>
      <c r="E41" s="3" t="s">
        <v>90</v>
      </c>
      <c r="F41" s="3">
        <v>910925866</v>
      </c>
      <c r="G41" s="3">
        <v>21856980</v>
      </c>
      <c r="H41" t="e">
        <f>VLOOKUP(G41,consolidado!$A$2:$B$656,2,FALSE)</f>
        <v>#N/A</v>
      </c>
    </row>
    <row r="42" spans="2:8" ht="17.399999999999999" hidden="1" customHeight="1">
      <c r="B42" s="4">
        <v>40</v>
      </c>
      <c r="C42" s="3" t="s">
        <v>91</v>
      </c>
      <c r="D42" s="3" t="s">
        <v>92</v>
      </c>
      <c r="E42" s="3" t="s">
        <v>19</v>
      </c>
      <c r="F42" s="3" t="s">
        <v>93</v>
      </c>
      <c r="G42" s="3">
        <v>76564222</v>
      </c>
      <c r="H42" t="e">
        <f>VLOOKUP(G42,consolidado!$A$2:$B$656,2,FALSE)</f>
        <v>#N/A</v>
      </c>
    </row>
    <row r="43" spans="2:8" ht="17.399999999999999" hidden="1" customHeight="1">
      <c r="B43" s="4">
        <v>41</v>
      </c>
      <c r="C43" s="3" t="s">
        <v>94</v>
      </c>
      <c r="D43" s="3" t="s">
        <v>95</v>
      </c>
      <c r="E43" s="3" t="s">
        <v>5</v>
      </c>
      <c r="F43" s="3" t="s">
        <v>96</v>
      </c>
      <c r="G43" s="3">
        <v>70401928</v>
      </c>
      <c r="H43" t="e">
        <f>VLOOKUP(G43,consolidado!$A$2:$B$656,2,FALSE)</f>
        <v>#N/A</v>
      </c>
    </row>
    <row r="44" spans="2:8" ht="17.399999999999999" hidden="1" customHeight="1">
      <c r="B44" s="4">
        <v>42</v>
      </c>
      <c r="C44" s="3" t="s">
        <v>97</v>
      </c>
      <c r="D44" s="3" t="s">
        <v>98</v>
      </c>
      <c r="E44" s="3" t="s">
        <v>99</v>
      </c>
      <c r="F44" s="3">
        <v>921159983</v>
      </c>
      <c r="G44" s="3">
        <v>43350897</v>
      </c>
      <c r="H44" t="e">
        <f>VLOOKUP(G44,consolidado!$A$2:$B$656,2,FALSE)</f>
        <v>#N/A</v>
      </c>
    </row>
    <row r="45" spans="2:8" ht="17.399999999999999" hidden="1" customHeight="1">
      <c r="B45" s="4">
        <v>43</v>
      </c>
      <c r="C45" s="3" t="s">
        <v>100</v>
      </c>
      <c r="D45" s="3" t="s">
        <v>101</v>
      </c>
      <c r="E45" s="3" t="s">
        <v>2</v>
      </c>
      <c r="F45" s="3">
        <v>991881274</v>
      </c>
      <c r="G45" s="3">
        <v>43073315</v>
      </c>
      <c r="H45" t="e">
        <f>VLOOKUP(G45,consolidado!$A$2:$B$656,2,FALSE)</f>
        <v>#N/A</v>
      </c>
    </row>
    <row r="46" spans="2:8" ht="17.399999999999999" hidden="1" customHeight="1">
      <c r="B46" s="4">
        <v>44</v>
      </c>
      <c r="C46" s="3" t="s">
        <v>102</v>
      </c>
      <c r="D46" s="3" t="s">
        <v>103</v>
      </c>
      <c r="E46" s="3" t="s">
        <v>90</v>
      </c>
      <c r="F46" s="3">
        <v>977207233</v>
      </c>
      <c r="G46" s="3">
        <v>43081077</v>
      </c>
      <c r="H46" t="e">
        <f>VLOOKUP(G46,consolidado!$A$2:$B$656,2,FALSE)</f>
        <v>#N/A</v>
      </c>
    </row>
    <row r="47" spans="2:8" ht="17.399999999999999" customHeight="1">
      <c r="B47" s="4">
        <v>45</v>
      </c>
      <c r="C47" s="3" t="s">
        <v>104</v>
      </c>
      <c r="D47" s="3" t="s">
        <v>105</v>
      </c>
      <c r="E47" s="3" t="s">
        <v>106</v>
      </c>
      <c r="F47" s="3">
        <v>923385901</v>
      </c>
      <c r="G47" s="3">
        <v>21879863</v>
      </c>
      <c r="H47" t="e">
        <f>VLOOKUP(G47,consolidado!$A$2:$B$656,2,FALSE)</f>
        <v>#N/A</v>
      </c>
    </row>
    <row r="48" spans="2:8" ht="17.399999999999999" hidden="1" customHeight="1">
      <c r="B48" s="4">
        <v>46</v>
      </c>
      <c r="C48" s="3" t="s">
        <v>107</v>
      </c>
      <c r="D48" s="3" t="s">
        <v>108</v>
      </c>
      <c r="E48" s="3" t="s">
        <v>27</v>
      </c>
      <c r="F48" s="3" t="s">
        <v>109</v>
      </c>
      <c r="G48" s="3">
        <v>76699951</v>
      </c>
      <c r="H48" t="e">
        <f>VLOOKUP(G48,consolidado!$A$2:$B$656,2,FALSE)</f>
        <v>#N/A</v>
      </c>
    </row>
    <row r="49" spans="2:8" ht="17.399999999999999" hidden="1" customHeight="1">
      <c r="B49" s="4">
        <v>47</v>
      </c>
      <c r="C49" s="3" t="s">
        <v>110</v>
      </c>
      <c r="D49" s="3" t="s">
        <v>111</v>
      </c>
      <c r="E49" s="3" t="s">
        <v>19</v>
      </c>
      <c r="F49" s="3">
        <v>980105151</v>
      </c>
      <c r="G49" s="3">
        <v>42697575</v>
      </c>
      <c r="H49" t="e">
        <f>VLOOKUP(G49,consolidado!$A$2:$B$656,2,FALSE)</f>
        <v>#N/A</v>
      </c>
    </row>
    <row r="50" spans="2:8" ht="17.399999999999999" hidden="1" customHeight="1">
      <c r="B50" s="4">
        <v>48</v>
      </c>
      <c r="C50" s="3" t="s">
        <v>112</v>
      </c>
      <c r="D50" s="3" t="s">
        <v>113</v>
      </c>
      <c r="E50" s="3" t="s">
        <v>19</v>
      </c>
      <c r="F50" s="3">
        <v>984786637</v>
      </c>
      <c r="G50" s="3">
        <v>21811546</v>
      </c>
      <c r="H50" t="e">
        <f>VLOOKUP(G50,consolidado!$A$2:$B$656,2,FALSE)</f>
        <v>#N/A</v>
      </c>
    </row>
    <row r="51" spans="2:8" ht="17.399999999999999" hidden="1" customHeight="1">
      <c r="B51" s="4">
        <v>49</v>
      </c>
      <c r="C51" s="3" t="s">
        <v>114</v>
      </c>
      <c r="D51" s="3" t="s">
        <v>115</v>
      </c>
      <c r="E51" s="3" t="s">
        <v>36</v>
      </c>
      <c r="F51" s="3">
        <v>917631684</v>
      </c>
      <c r="G51" s="3">
        <v>41413801</v>
      </c>
      <c r="H51" t="e">
        <f>VLOOKUP(G51,consolidado!$A$2:$B$656,2,FALSE)</f>
        <v>#N/A</v>
      </c>
    </row>
    <row r="52" spans="2:8" ht="17.399999999999999" hidden="1" customHeight="1">
      <c r="B52" s="4">
        <v>50</v>
      </c>
      <c r="C52" s="3" t="s">
        <v>116</v>
      </c>
      <c r="D52" s="3" t="s">
        <v>117</v>
      </c>
      <c r="E52" s="3" t="s">
        <v>19</v>
      </c>
      <c r="F52" s="3">
        <v>968246931</v>
      </c>
      <c r="G52" s="3">
        <v>70366439</v>
      </c>
      <c r="H52" t="e">
        <f>VLOOKUP(G52,consolidado!$A$2:$B$656,2,FALSE)</f>
        <v>#N/A</v>
      </c>
    </row>
    <row r="53" spans="2:8" ht="17.399999999999999" hidden="1" customHeight="1">
      <c r="B53" s="4">
        <v>51</v>
      </c>
      <c r="C53" s="3" t="s">
        <v>118</v>
      </c>
      <c r="D53" s="3" t="s">
        <v>119</v>
      </c>
      <c r="E53" s="3" t="s">
        <v>36</v>
      </c>
      <c r="F53" s="3">
        <v>965808498</v>
      </c>
      <c r="G53" s="3">
        <v>21866027</v>
      </c>
      <c r="H53" t="e">
        <f>VLOOKUP(G53,consolidado!$A$2:$B$656,2,FALSE)</f>
        <v>#N/A</v>
      </c>
    </row>
    <row r="54" spans="2:8" ht="17.399999999999999" hidden="1" customHeight="1">
      <c r="B54" s="4">
        <v>52</v>
      </c>
      <c r="C54" s="3" t="s">
        <v>120</v>
      </c>
      <c r="D54" s="3" t="s">
        <v>121</v>
      </c>
      <c r="E54" s="3" t="s">
        <v>27</v>
      </c>
      <c r="F54" s="3">
        <v>992870887</v>
      </c>
      <c r="G54" s="3">
        <v>21860894</v>
      </c>
      <c r="H54" t="e">
        <f>VLOOKUP(G54,consolidado!$A$2:$B$656,2,FALSE)</f>
        <v>#N/A</v>
      </c>
    </row>
    <row r="55" spans="2:8" ht="17.399999999999999" hidden="1" customHeight="1">
      <c r="B55" s="4">
        <v>53</v>
      </c>
      <c r="C55" s="3" t="s">
        <v>122</v>
      </c>
      <c r="D55" s="3" t="s">
        <v>123</v>
      </c>
      <c r="E55" s="3" t="s">
        <v>27</v>
      </c>
      <c r="F55" s="3">
        <v>916486489</v>
      </c>
      <c r="G55" s="3">
        <v>46927424</v>
      </c>
      <c r="H55" t="e">
        <f>VLOOKUP(G55,consolidado!$A$2:$B$656,2,FALSE)</f>
        <v>#N/A</v>
      </c>
    </row>
    <row r="56" spans="2:8" ht="17.399999999999999" hidden="1" customHeight="1">
      <c r="B56" s="4">
        <v>54</v>
      </c>
      <c r="C56" s="3" t="s">
        <v>124</v>
      </c>
      <c r="D56" s="3" t="s">
        <v>125</v>
      </c>
      <c r="E56" s="3" t="s">
        <v>126</v>
      </c>
      <c r="F56" s="3">
        <v>923160732</v>
      </c>
      <c r="G56" s="3">
        <v>70365697</v>
      </c>
      <c r="H56" t="e">
        <f>VLOOKUP(G56,consolidado!$A$2:$B$656,2,FALSE)</f>
        <v>#N/A</v>
      </c>
    </row>
    <row r="57" spans="2:8" ht="17.399999999999999" hidden="1" customHeight="1">
      <c r="B57" s="4">
        <v>55</v>
      </c>
      <c r="C57" s="3" t="s">
        <v>127</v>
      </c>
      <c r="D57" s="3" t="s">
        <v>128</v>
      </c>
      <c r="E57" s="3" t="s">
        <v>8</v>
      </c>
      <c r="F57" s="3">
        <v>949645226</v>
      </c>
      <c r="G57" s="3">
        <v>21846794</v>
      </c>
      <c r="H57" t="e">
        <f>VLOOKUP(G57,consolidado!$A$2:$B$656,2,FALSE)</f>
        <v>#N/A</v>
      </c>
    </row>
    <row r="58" spans="2:8" ht="17.399999999999999" hidden="1" customHeight="1">
      <c r="B58" s="4">
        <v>56</v>
      </c>
      <c r="C58" s="3" t="s">
        <v>129</v>
      </c>
      <c r="D58" s="3" t="s">
        <v>130</v>
      </c>
      <c r="E58" s="3" t="s">
        <v>8</v>
      </c>
      <c r="F58" s="3">
        <v>953309019</v>
      </c>
      <c r="G58" s="3">
        <v>21866012</v>
      </c>
      <c r="H58" t="e">
        <f>VLOOKUP(G58,consolidado!$A$2:$B$656,2,FALSE)</f>
        <v>#N/A</v>
      </c>
    </row>
    <row r="59" spans="2:8" ht="17.399999999999999" hidden="1" customHeight="1">
      <c r="B59" s="4">
        <v>57</v>
      </c>
      <c r="C59" s="3" t="s">
        <v>131</v>
      </c>
      <c r="D59" s="3" t="s">
        <v>132</v>
      </c>
      <c r="E59" s="3" t="s">
        <v>5</v>
      </c>
      <c r="F59" s="3">
        <v>936357730</v>
      </c>
      <c r="G59" s="3">
        <v>72801045</v>
      </c>
      <c r="H59" t="e">
        <f>VLOOKUP(G59,consolidado!$A$2:$B$656,2,FALSE)</f>
        <v>#N/A</v>
      </c>
    </row>
    <row r="60" spans="2:8" ht="17.399999999999999" hidden="1" customHeight="1">
      <c r="B60" s="4">
        <v>58</v>
      </c>
      <c r="C60" s="3" t="s">
        <v>133</v>
      </c>
      <c r="D60" s="3" t="s">
        <v>134</v>
      </c>
      <c r="E60" s="3" t="s">
        <v>135</v>
      </c>
      <c r="F60" s="3">
        <v>977265651</v>
      </c>
      <c r="G60" s="3" t="s">
        <v>136</v>
      </c>
      <c r="H60" t="e">
        <f>VLOOKUP(G60,consolidado!$A$2:$B$656,2,FALSE)</f>
        <v>#N/A</v>
      </c>
    </row>
    <row r="61" spans="2:8" ht="17.399999999999999" customHeight="1">
      <c r="B61" s="4">
        <v>59</v>
      </c>
      <c r="C61" s="3" t="s">
        <v>137</v>
      </c>
      <c r="D61" s="3" t="s">
        <v>138</v>
      </c>
      <c r="E61" s="3" t="s">
        <v>126</v>
      </c>
      <c r="F61" s="3">
        <v>998223499</v>
      </c>
      <c r="G61" s="3">
        <v>45271647</v>
      </c>
      <c r="H61" t="e">
        <f>VLOOKUP(G61,consolidado!$A$2:$B$656,2,FALSE)</f>
        <v>#N/A</v>
      </c>
    </row>
    <row r="62" spans="2:8" ht="17.399999999999999" customHeight="1">
      <c r="B62" s="4">
        <v>60</v>
      </c>
      <c r="C62" s="3" t="s">
        <v>139</v>
      </c>
      <c r="D62" s="3" t="s">
        <v>140</v>
      </c>
      <c r="E62" s="3" t="s">
        <v>2</v>
      </c>
      <c r="F62" s="3">
        <v>998862290</v>
      </c>
      <c r="G62" s="3">
        <v>28296257</v>
      </c>
      <c r="H62" t="e">
        <f>VLOOKUP(G62,consolidado!$A$2:$B$656,2,FALSE)</f>
        <v>#N/A</v>
      </c>
    </row>
    <row r="63" spans="2:8" ht="17.399999999999999" hidden="1" customHeight="1">
      <c r="B63" s="4">
        <v>61</v>
      </c>
      <c r="C63" s="3" t="s">
        <v>141</v>
      </c>
      <c r="D63" s="3" t="s">
        <v>142</v>
      </c>
      <c r="E63" s="3" t="s">
        <v>99</v>
      </c>
      <c r="F63" s="3">
        <v>955176660</v>
      </c>
      <c r="G63" s="3">
        <v>44051352</v>
      </c>
      <c r="H63" t="e">
        <f>VLOOKUP(G63,consolidado!$A$2:$B$656,2,FALSE)</f>
        <v>#N/A</v>
      </c>
    </row>
    <row r="64" spans="2:8" ht="17.399999999999999" hidden="1" customHeight="1">
      <c r="B64" s="4">
        <v>62</v>
      </c>
      <c r="C64" s="3" t="s">
        <v>143</v>
      </c>
      <c r="D64" s="3" t="s">
        <v>144</v>
      </c>
      <c r="E64" s="3" t="s">
        <v>36</v>
      </c>
      <c r="F64" s="3">
        <v>977537270</v>
      </c>
      <c r="G64" s="3">
        <v>71616237</v>
      </c>
      <c r="H64" t="e">
        <f>VLOOKUP(G64,consolidado!$A$2:$B$656,2,FALSE)</f>
        <v>#N/A</v>
      </c>
    </row>
    <row r="65" spans="2:8" ht="17.399999999999999" hidden="1" customHeight="1">
      <c r="B65" s="4">
        <v>63</v>
      </c>
      <c r="C65" s="3" t="s">
        <v>145</v>
      </c>
      <c r="D65" s="3" t="s">
        <v>146</v>
      </c>
      <c r="E65" s="3" t="s">
        <v>22</v>
      </c>
      <c r="F65" s="3">
        <v>934981060</v>
      </c>
      <c r="G65" s="3">
        <v>43413495</v>
      </c>
      <c r="H65" t="e">
        <f>VLOOKUP(G65,consolidado!$A$2:$B$656,2,FALSE)</f>
        <v>#N/A</v>
      </c>
    </row>
    <row r="66" spans="2:8" ht="17.399999999999999" hidden="1" customHeight="1">
      <c r="B66" s="4">
        <v>64</v>
      </c>
      <c r="C66" s="3" t="s">
        <v>147</v>
      </c>
      <c r="D66" s="3" t="s">
        <v>148</v>
      </c>
      <c r="E66" s="3" t="s">
        <v>36</v>
      </c>
      <c r="F66" s="3">
        <v>937002689</v>
      </c>
      <c r="G66" s="3">
        <v>44077389</v>
      </c>
      <c r="H66" t="e">
        <f>VLOOKUP(G66,consolidado!$A$2:$B$656,2,FALSE)</f>
        <v>#N/A</v>
      </c>
    </row>
    <row r="67" spans="2:8" ht="17.399999999999999" hidden="1" customHeight="1">
      <c r="B67" s="4">
        <v>65</v>
      </c>
      <c r="C67" s="3" t="s">
        <v>149</v>
      </c>
      <c r="D67" s="3" t="s">
        <v>150</v>
      </c>
      <c r="E67" s="3" t="s">
        <v>135</v>
      </c>
      <c r="F67" s="3">
        <v>964901936</v>
      </c>
      <c r="G67" s="3">
        <v>40956555</v>
      </c>
      <c r="H67" t="e">
        <f>VLOOKUP(G67,consolidado!$A$2:$B$656,2,FALSE)</f>
        <v>#N/A</v>
      </c>
    </row>
    <row r="68" spans="2:8" ht="17.399999999999999" hidden="1" customHeight="1">
      <c r="B68" s="4">
        <v>66</v>
      </c>
      <c r="C68" s="3" t="s">
        <v>151</v>
      </c>
      <c r="D68" s="3" t="s">
        <v>152</v>
      </c>
      <c r="E68" s="3" t="s">
        <v>2</v>
      </c>
      <c r="F68" s="3">
        <v>944804574</v>
      </c>
      <c r="G68" s="3">
        <v>21880000</v>
      </c>
      <c r="H68" t="e">
        <f>VLOOKUP(G68,consolidado!$A$2:$B$656,2,FALSE)</f>
        <v>#N/A</v>
      </c>
    </row>
    <row r="69" spans="2:8" ht="17.399999999999999" hidden="1" customHeight="1">
      <c r="B69" s="4">
        <v>67</v>
      </c>
      <c r="C69" s="3" t="s">
        <v>153</v>
      </c>
      <c r="D69" s="3" t="s">
        <v>154</v>
      </c>
      <c r="E69" s="3" t="s">
        <v>126</v>
      </c>
      <c r="F69" s="3">
        <v>997216682</v>
      </c>
      <c r="G69" s="3">
        <v>48477799</v>
      </c>
      <c r="H69" t="e">
        <f>VLOOKUP(G69,consolidado!$A$2:$B$656,2,FALSE)</f>
        <v>#N/A</v>
      </c>
    </row>
    <row r="70" spans="2:8" ht="17.399999999999999" hidden="1" customHeight="1">
      <c r="B70" s="4">
        <v>68</v>
      </c>
      <c r="C70" s="3" t="s">
        <v>155</v>
      </c>
      <c r="D70" s="3" t="s">
        <v>156</v>
      </c>
      <c r="E70" s="3" t="s">
        <v>5</v>
      </c>
      <c r="F70" s="3" t="s">
        <v>157</v>
      </c>
      <c r="G70" s="3">
        <v>44071823</v>
      </c>
      <c r="H70" t="e">
        <f>VLOOKUP(G70,consolidado!$A$2:$B$656,2,FALSE)</f>
        <v>#N/A</v>
      </c>
    </row>
    <row r="71" spans="2:8" ht="17.399999999999999" hidden="1" customHeight="1">
      <c r="B71" s="4">
        <v>69</v>
      </c>
      <c r="C71" s="3" t="s">
        <v>158</v>
      </c>
      <c r="D71" s="3" t="s">
        <v>159</v>
      </c>
      <c r="E71" s="3" t="s">
        <v>5</v>
      </c>
      <c r="F71" s="3" t="s">
        <v>160</v>
      </c>
      <c r="G71" s="3">
        <v>21852326</v>
      </c>
      <c r="H71" t="e">
        <f>VLOOKUP(G71,consolidado!$A$2:$B$656,2,FALSE)</f>
        <v>#N/A</v>
      </c>
    </row>
    <row r="72" spans="2:8" ht="17.399999999999999" hidden="1" customHeight="1">
      <c r="B72" s="4">
        <v>70</v>
      </c>
      <c r="C72" s="3" t="s">
        <v>161</v>
      </c>
      <c r="D72" s="3" t="s">
        <v>162</v>
      </c>
      <c r="E72" s="3" t="s">
        <v>27</v>
      </c>
      <c r="F72" s="3">
        <v>934439107</v>
      </c>
      <c r="G72" s="3">
        <v>41951909</v>
      </c>
      <c r="H72" t="e">
        <f>VLOOKUP(G72,consolidado!$A$2:$B$656,2,FALSE)</f>
        <v>#N/A</v>
      </c>
    </row>
    <row r="73" spans="2:8" ht="17.399999999999999" hidden="1" customHeight="1">
      <c r="B73" s="4">
        <v>71</v>
      </c>
      <c r="C73" s="3" t="s">
        <v>163</v>
      </c>
      <c r="D73" s="3" t="s">
        <v>164</v>
      </c>
      <c r="E73" s="3" t="s">
        <v>19</v>
      </c>
      <c r="F73" s="3">
        <v>991902168</v>
      </c>
      <c r="G73" s="3">
        <v>77100370</v>
      </c>
      <c r="H73" t="e">
        <f>VLOOKUP(G73,consolidado!$A$2:$B$656,2,FALSE)</f>
        <v>#N/A</v>
      </c>
    </row>
    <row r="74" spans="2:8" ht="17.399999999999999" hidden="1" customHeight="1">
      <c r="B74" s="4">
        <v>72</v>
      </c>
      <c r="C74" s="3" t="s">
        <v>165</v>
      </c>
      <c r="D74" s="3" t="s">
        <v>166</v>
      </c>
      <c r="E74" s="3" t="s">
        <v>14</v>
      </c>
      <c r="F74" s="3">
        <v>918709040</v>
      </c>
      <c r="G74" s="3">
        <v>21879925</v>
      </c>
      <c r="H74" t="e">
        <f>VLOOKUP(G74,consolidado!$A$2:$B$656,2,FALSE)</f>
        <v>#N/A</v>
      </c>
    </row>
    <row r="75" spans="2:8" ht="17.399999999999999" hidden="1" customHeight="1">
      <c r="B75" s="4">
        <v>73</v>
      </c>
      <c r="C75" s="3" t="s">
        <v>167</v>
      </c>
      <c r="D75" s="3" t="s">
        <v>168</v>
      </c>
      <c r="E75" s="3" t="s">
        <v>71</v>
      </c>
      <c r="F75" s="3">
        <v>952631213</v>
      </c>
      <c r="G75" s="3">
        <v>21887388</v>
      </c>
      <c r="H75" t="e">
        <f>VLOOKUP(G75,consolidado!$A$2:$B$656,2,FALSE)</f>
        <v>#N/A</v>
      </c>
    </row>
    <row r="76" spans="2:8" ht="17.399999999999999" hidden="1" customHeight="1">
      <c r="B76" s="4">
        <v>74</v>
      </c>
      <c r="C76" s="3" t="s">
        <v>169</v>
      </c>
      <c r="D76" s="3" t="s">
        <v>170</v>
      </c>
      <c r="E76" s="3" t="s">
        <v>126</v>
      </c>
      <c r="F76" s="3" t="s">
        <v>171</v>
      </c>
      <c r="G76" s="3">
        <v>71717330</v>
      </c>
      <c r="H76" t="e">
        <f>VLOOKUP(G76,consolidado!$A$2:$B$656,2,FALSE)</f>
        <v>#N/A</v>
      </c>
    </row>
    <row r="77" spans="2:8" ht="17.399999999999999" hidden="1" customHeight="1">
      <c r="B77" s="4">
        <v>75</v>
      </c>
      <c r="C77" s="3" t="s">
        <v>172</v>
      </c>
      <c r="D77" s="3" t="s">
        <v>173</v>
      </c>
      <c r="E77" s="3" t="s">
        <v>8</v>
      </c>
      <c r="F77" s="3" t="s">
        <v>174</v>
      </c>
      <c r="G77" s="3">
        <v>41764623</v>
      </c>
      <c r="H77" t="e">
        <f>VLOOKUP(G77,consolidado!$A$2:$B$656,2,FALSE)</f>
        <v>#N/A</v>
      </c>
    </row>
    <row r="78" spans="2:8" ht="17.399999999999999" hidden="1" customHeight="1">
      <c r="B78" s="4">
        <v>76</v>
      </c>
      <c r="C78" s="3" t="s">
        <v>175</v>
      </c>
      <c r="D78" s="3" t="s">
        <v>176</v>
      </c>
      <c r="E78" s="3" t="s">
        <v>8</v>
      </c>
      <c r="F78" s="3">
        <v>971054315</v>
      </c>
      <c r="G78" s="3">
        <v>44338673</v>
      </c>
      <c r="H78" t="e">
        <f>VLOOKUP(G78,consolidado!$A$2:$B$656,2,FALSE)</f>
        <v>#N/A</v>
      </c>
    </row>
    <row r="79" spans="2:8" ht="17.399999999999999" hidden="1" customHeight="1">
      <c r="B79" s="4">
        <v>77</v>
      </c>
      <c r="C79" s="3" t="s">
        <v>177</v>
      </c>
      <c r="D79" s="3" t="s">
        <v>178</v>
      </c>
      <c r="E79" s="3" t="s">
        <v>36</v>
      </c>
      <c r="F79" s="3" t="s">
        <v>179</v>
      </c>
      <c r="G79" s="3">
        <v>21882415</v>
      </c>
      <c r="H79" t="e">
        <f>VLOOKUP(G79,consolidado!$A$2:$B$656,2,FALSE)</f>
        <v>#N/A</v>
      </c>
    </row>
    <row r="80" spans="2:8" ht="17.399999999999999" hidden="1" customHeight="1">
      <c r="B80" s="4">
        <v>78</v>
      </c>
      <c r="C80" s="3" t="s">
        <v>180</v>
      </c>
      <c r="D80" s="3" t="s">
        <v>181</v>
      </c>
      <c r="E80" s="3" t="s">
        <v>22</v>
      </c>
      <c r="F80" s="3">
        <v>943475536</v>
      </c>
      <c r="G80" s="3">
        <v>43271704</v>
      </c>
      <c r="H80" t="e">
        <f>VLOOKUP(G80,consolidado!$A$2:$B$656,2,FALSE)</f>
        <v>#N/A</v>
      </c>
    </row>
    <row r="81" spans="2:8" ht="17.399999999999999" hidden="1" customHeight="1">
      <c r="B81" s="4">
        <v>79</v>
      </c>
      <c r="C81" s="3" t="s">
        <v>182</v>
      </c>
      <c r="D81" s="3" t="s">
        <v>183</v>
      </c>
      <c r="E81" s="3" t="s">
        <v>2</v>
      </c>
      <c r="F81" s="3">
        <v>944323513</v>
      </c>
      <c r="G81" s="3">
        <v>46865852</v>
      </c>
      <c r="H81" t="e">
        <f>VLOOKUP(G81,consolidado!$A$2:$B$656,2,FALSE)</f>
        <v>#N/A</v>
      </c>
    </row>
    <row r="82" spans="2:8" ht="17.399999999999999" hidden="1" customHeight="1">
      <c r="B82" s="4">
        <v>80</v>
      </c>
      <c r="C82" s="3" t="s">
        <v>184</v>
      </c>
      <c r="D82" s="3" t="s">
        <v>185</v>
      </c>
      <c r="E82" s="3" t="s">
        <v>22</v>
      </c>
      <c r="F82" s="3" t="s">
        <v>186</v>
      </c>
      <c r="G82" s="3">
        <v>42652351</v>
      </c>
      <c r="H82" t="e">
        <f>VLOOKUP(G82,consolidado!$A$2:$B$656,2,FALSE)</f>
        <v>#N/A</v>
      </c>
    </row>
    <row r="83" spans="2:8" ht="17.399999999999999" hidden="1" customHeight="1">
      <c r="B83" s="4">
        <v>81</v>
      </c>
      <c r="C83" s="3" t="s">
        <v>187</v>
      </c>
      <c r="D83" s="3" t="s">
        <v>188</v>
      </c>
      <c r="E83" s="3" t="s">
        <v>14</v>
      </c>
      <c r="F83" s="3" t="s">
        <v>189</v>
      </c>
      <c r="G83" s="3">
        <v>75449009</v>
      </c>
      <c r="H83" t="e">
        <f>VLOOKUP(G83,consolidado!$A$2:$B$656,2,FALSE)</f>
        <v>#N/A</v>
      </c>
    </row>
    <row r="84" spans="2:8" ht="17.399999999999999" hidden="1" customHeight="1">
      <c r="B84" s="4">
        <v>82</v>
      </c>
      <c r="C84" s="3" t="s">
        <v>190</v>
      </c>
      <c r="D84" s="3" t="s">
        <v>191</v>
      </c>
      <c r="E84" s="3" t="s">
        <v>22</v>
      </c>
      <c r="F84" s="3">
        <v>957408746</v>
      </c>
      <c r="G84" s="3">
        <v>44658446</v>
      </c>
      <c r="H84" t="e">
        <f>VLOOKUP(G84,consolidado!$A$2:$B$656,2,FALSE)</f>
        <v>#N/A</v>
      </c>
    </row>
    <row r="85" spans="2:8" ht="17.399999999999999" customHeight="1">
      <c r="B85" s="4">
        <v>83</v>
      </c>
      <c r="C85" s="3" t="s">
        <v>192</v>
      </c>
      <c r="D85" s="3" t="s">
        <v>193</v>
      </c>
      <c r="E85" s="3" t="s">
        <v>22</v>
      </c>
      <c r="F85" s="3">
        <v>955974625</v>
      </c>
      <c r="G85" s="3">
        <v>45470570</v>
      </c>
      <c r="H85" t="e">
        <f>VLOOKUP(G85,consolidado!$A$2:$B$656,2,FALSE)</f>
        <v>#N/A</v>
      </c>
    </row>
    <row r="86" spans="2:8" ht="17.399999999999999" hidden="1" customHeight="1">
      <c r="B86" s="4">
        <v>84</v>
      </c>
      <c r="C86" s="3" t="s">
        <v>194</v>
      </c>
      <c r="D86" s="3" t="s">
        <v>195</v>
      </c>
      <c r="E86" s="3" t="s">
        <v>22</v>
      </c>
      <c r="F86" s="3">
        <v>989058641</v>
      </c>
      <c r="G86" s="3" t="s">
        <v>196</v>
      </c>
      <c r="H86" t="e">
        <f>VLOOKUP(G86,consolidado!$A$2:$B$656,2,FALSE)</f>
        <v>#N/A</v>
      </c>
    </row>
    <row r="87" spans="2:8" ht="17.399999999999999" hidden="1" customHeight="1">
      <c r="B87" s="4">
        <v>85</v>
      </c>
      <c r="C87" s="3" t="s">
        <v>197</v>
      </c>
      <c r="D87" s="3" t="s">
        <v>198</v>
      </c>
      <c r="E87" s="3" t="s">
        <v>22</v>
      </c>
      <c r="F87" s="3">
        <v>947151746</v>
      </c>
      <c r="G87" s="3">
        <v>70401918</v>
      </c>
      <c r="H87" t="e">
        <f>VLOOKUP(G87,consolidado!$A$2:$B$656,2,FALSE)</f>
        <v>#N/A</v>
      </c>
    </row>
    <row r="88" spans="2:8" ht="17.399999999999999" hidden="1" customHeight="1">
      <c r="B88" s="4">
        <v>86</v>
      </c>
      <c r="C88" s="3" t="s">
        <v>199</v>
      </c>
      <c r="D88" s="3" t="s">
        <v>200</v>
      </c>
      <c r="E88" s="3" t="s">
        <v>22</v>
      </c>
      <c r="F88" s="3">
        <v>972841510</v>
      </c>
      <c r="G88" s="3">
        <v>45851431</v>
      </c>
      <c r="H88" t="e">
        <f>VLOOKUP(G88,consolidado!$A$2:$B$656,2,FALSE)</f>
        <v>#N/A</v>
      </c>
    </row>
    <row r="89" spans="2:8" ht="17.399999999999999" hidden="1" customHeight="1">
      <c r="B89" s="4">
        <v>87</v>
      </c>
      <c r="C89" s="3" t="s">
        <v>201</v>
      </c>
      <c r="D89" s="3" t="s">
        <v>202</v>
      </c>
      <c r="E89" s="3" t="s">
        <v>22</v>
      </c>
      <c r="F89" s="3" t="s">
        <v>203</v>
      </c>
      <c r="G89" s="3">
        <v>45715311</v>
      </c>
      <c r="H89" t="e">
        <f>VLOOKUP(G89,consolidado!$A$2:$B$656,2,FALSE)</f>
        <v>#N/A</v>
      </c>
    </row>
    <row r="90" spans="2:8" ht="17.399999999999999" hidden="1" customHeight="1">
      <c r="B90" s="4">
        <v>88</v>
      </c>
      <c r="C90" s="3" t="s">
        <v>204</v>
      </c>
      <c r="D90" s="3" t="s">
        <v>205</v>
      </c>
      <c r="E90" s="3" t="s">
        <v>19</v>
      </c>
      <c r="F90" s="3">
        <v>977873933</v>
      </c>
      <c r="G90" s="3">
        <v>41731879</v>
      </c>
      <c r="H90" t="e">
        <f>VLOOKUP(G90,consolidado!$A$2:$B$656,2,FALSE)</f>
        <v>#N/A</v>
      </c>
    </row>
    <row r="91" spans="2:8" ht="17.399999999999999" hidden="1" customHeight="1">
      <c r="B91" s="4">
        <v>89</v>
      </c>
      <c r="C91" s="3" t="s">
        <v>206</v>
      </c>
      <c r="D91" s="3" t="s">
        <v>207</v>
      </c>
      <c r="E91" s="3" t="s">
        <v>19</v>
      </c>
      <c r="F91" s="3">
        <v>924144569</v>
      </c>
      <c r="G91" s="3">
        <v>46869547</v>
      </c>
      <c r="H91" t="e">
        <f>VLOOKUP(G91,consolidado!$A$2:$B$656,2,FALSE)</f>
        <v>#N/A</v>
      </c>
    </row>
    <row r="92" spans="2:8" ht="17.399999999999999" hidden="1" customHeight="1">
      <c r="B92" s="4">
        <v>90</v>
      </c>
      <c r="C92" s="3" t="s">
        <v>208</v>
      </c>
      <c r="D92" s="3" t="s">
        <v>209</v>
      </c>
      <c r="E92" s="3" t="s">
        <v>19</v>
      </c>
      <c r="F92" s="3">
        <v>969738812</v>
      </c>
      <c r="G92" s="3">
        <v>43221317</v>
      </c>
      <c r="H92" t="e">
        <f>VLOOKUP(G92,consolidado!$A$2:$B$656,2,FALSE)</f>
        <v>#N/A</v>
      </c>
    </row>
    <row r="93" spans="2:8" ht="17.399999999999999" hidden="1" customHeight="1">
      <c r="B93" s="4">
        <v>91</v>
      </c>
      <c r="C93" s="3" t="s">
        <v>210</v>
      </c>
      <c r="D93" s="3" t="s">
        <v>211</v>
      </c>
      <c r="E93" s="3" t="s">
        <v>19</v>
      </c>
      <c r="F93" s="3">
        <v>947821195</v>
      </c>
      <c r="G93" s="3">
        <v>21869218</v>
      </c>
      <c r="H93" t="e">
        <f>VLOOKUP(G93,consolidado!$A$2:$B$656,2,FALSE)</f>
        <v>#N/A</v>
      </c>
    </row>
    <row r="94" spans="2:8" ht="17.399999999999999" hidden="1" customHeight="1">
      <c r="B94" s="4">
        <v>92</v>
      </c>
      <c r="C94" s="3" t="s">
        <v>212</v>
      </c>
      <c r="D94" s="3" t="s">
        <v>213</v>
      </c>
      <c r="E94" s="3" t="s">
        <v>14</v>
      </c>
      <c r="F94" s="3">
        <v>921574409</v>
      </c>
      <c r="G94" s="3">
        <v>46952075</v>
      </c>
      <c r="H94" t="e">
        <f>VLOOKUP(G94,consolidado!$A$2:$B$656,2,FALSE)</f>
        <v>#N/A</v>
      </c>
    </row>
    <row r="95" spans="2:8" ht="17.399999999999999" hidden="1" customHeight="1">
      <c r="B95" s="4">
        <v>93</v>
      </c>
      <c r="C95" s="3" t="s">
        <v>214</v>
      </c>
      <c r="D95" s="3" t="s">
        <v>215</v>
      </c>
      <c r="E95" s="3" t="s">
        <v>27</v>
      </c>
      <c r="F95" s="3">
        <v>975342591</v>
      </c>
      <c r="G95" s="3">
        <v>45200955</v>
      </c>
      <c r="H95" t="e">
        <f>VLOOKUP(G95,consolidado!$A$2:$B$656,2,FALSE)</f>
        <v>#N/A</v>
      </c>
    </row>
    <row r="96" spans="2:8" ht="17.399999999999999" hidden="1" customHeight="1">
      <c r="B96" s="4">
        <v>94</v>
      </c>
      <c r="C96" s="3" t="s">
        <v>216</v>
      </c>
      <c r="D96" s="3" t="s">
        <v>217</v>
      </c>
      <c r="E96" s="3" t="s">
        <v>2</v>
      </c>
      <c r="F96" s="3">
        <v>934453865</v>
      </c>
      <c r="G96" s="3">
        <v>44483361</v>
      </c>
      <c r="H96" t="e">
        <f>VLOOKUP(G96,consolidado!$A$2:$B$656,2,FALSE)</f>
        <v>#N/A</v>
      </c>
    </row>
    <row r="97" spans="2:8" ht="17.399999999999999" hidden="1" customHeight="1">
      <c r="B97" s="4">
        <v>95</v>
      </c>
      <c r="C97" s="3" t="s">
        <v>218</v>
      </c>
      <c r="D97" s="3" t="s">
        <v>219</v>
      </c>
      <c r="E97" s="3" t="s">
        <v>126</v>
      </c>
      <c r="F97" s="3">
        <v>961576371</v>
      </c>
      <c r="G97" s="3">
        <v>73479221</v>
      </c>
      <c r="H97" t="e">
        <f>VLOOKUP(G97,consolidado!$A$2:$B$656,2,FALSE)</f>
        <v>#N/A</v>
      </c>
    </row>
    <row r="98" spans="2:8" ht="17.399999999999999" hidden="1" customHeight="1">
      <c r="B98" s="4">
        <v>96</v>
      </c>
      <c r="C98" s="3" t="s">
        <v>220</v>
      </c>
      <c r="D98" s="3" t="s">
        <v>221</v>
      </c>
      <c r="E98" s="3" t="s">
        <v>27</v>
      </c>
      <c r="F98" s="3">
        <v>936707747</v>
      </c>
      <c r="G98" s="3">
        <v>21790332</v>
      </c>
      <c r="H98" t="e">
        <f>VLOOKUP(G98,consolidado!$A$2:$B$656,2,FALSE)</f>
        <v>#N/A</v>
      </c>
    </row>
    <row r="99" spans="2:8" ht="17.399999999999999" hidden="1" customHeight="1">
      <c r="B99" s="4">
        <v>97</v>
      </c>
      <c r="C99" s="3" t="s">
        <v>222</v>
      </c>
      <c r="D99" s="3" t="s">
        <v>223</v>
      </c>
      <c r="E99" s="3" t="s">
        <v>19</v>
      </c>
      <c r="F99" s="3">
        <v>957727000</v>
      </c>
      <c r="G99" s="3">
        <v>21868131</v>
      </c>
      <c r="H99" t="e">
        <f>VLOOKUP(G99,consolidado!$A$2:$B$656,2,FALSE)</f>
        <v>#N/A</v>
      </c>
    </row>
    <row r="100" spans="2:8" ht="17.399999999999999" hidden="1" customHeight="1">
      <c r="B100" s="4">
        <v>98</v>
      </c>
      <c r="C100" s="3" t="s">
        <v>224</v>
      </c>
      <c r="D100" s="3" t="s">
        <v>225</v>
      </c>
      <c r="E100" s="3" t="s">
        <v>27</v>
      </c>
      <c r="F100" s="3">
        <v>955737034</v>
      </c>
      <c r="G100" s="3">
        <v>46981135</v>
      </c>
      <c r="H100" t="e">
        <f>VLOOKUP(G100,consolidado!$A$2:$B$656,2,FALSE)</f>
        <v>#N/A</v>
      </c>
    </row>
    <row r="101" spans="2:8" ht="17.399999999999999" hidden="1" customHeight="1">
      <c r="B101" s="4">
        <v>99</v>
      </c>
      <c r="C101" s="3" t="s">
        <v>226</v>
      </c>
      <c r="D101" s="3" t="s">
        <v>227</v>
      </c>
      <c r="E101" s="3" t="s">
        <v>27</v>
      </c>
      <c r="F101" s="3">
        <v>924757716</v>
      </c>
      <c r="G101" s="3">
        <v>43515540</v>
      </c>
      <c r="H101" t="e">
        <f>VLOOKUP(G101,consolidado!$A$2:$B$656,2,FALSE)</f>
        <v>#N/A</v>
      </c>
    </row>
    <row r="102" spans="2:8" ht="17.399999999999999" hidden="1" customHeight="1">
      <c r="B102" s="4">
        <v>100</v>
      </c>
      <c r="C102" s="3" t="s">
        <v>228</v>
      </c>
      <c r="D102" s="3" t="s">
        <v>229</v>
      </c>
      <c r="E102" s="3" t="s">
        <v>230</v>
      </c>
      <c r="F102" s="3">
        <v>917289473</v>
      </c>
      <c r="G102" s="3">
        <v>21861580</v>
      </c>
      <c r="H102" t="e">
        <f>VLOOKUP(G102,consolidado!$A$2:$B$656,2,FALSE)</f>
        <v>#N/A</v>
      </c>
    </row>
    <row r="103" spans="2:8" ht="17.399999999999999" hidden="1" customHeight="1">
      <c r="B103" s="4">
        <v>101</v>
      </c>
      <c r="C103" s="3" t="s">
        <v>231</v>
      </c>
      <c r="D103" s="3" t="s">
        <v>232</v>
      </c>
      <c r="E103" s="3" t="s">
        <v>2</v>
      </c>
      <c r="F103" s="3">
        <v>923289467</v>
      </c>
      <c r="G103" s="3">
        <v>74060396</v>
      </c>
      <c r="H103" t="e">
        <f>VLOOKUP(G103,consolidado!$A$2:$B$656,2,FALSE)</f>
        <v>#N/A</v>
      </c>
    </row>
    <row r="104" spans="2:8" ht="17.399999999999999" hidden="1" customHeight="1">
      <c r="B104" s="4">
        <v>102</v>
      </c>
      <c r="C104" s="3" t="s">
        <v>233</v>
      </c>
      <c r="D104" s="3" t="s">
        <v>234</v>
      </c>
      <c r="E104" s="3" t="s">
        <v>71</v>
      </c>
      <c r="F104" s="3">
        <v>971110476</v>
      </c>
      <c r="G104" s="3">
        <v>75675848</v>
      </c>
      <c r="H104" t="e">
        <f>VLOOKUP(G104,consolidado!$A$2:$B$656,2,FALSE)</f>
        <v>#N/A</v>
      </c>
    </row>
    <row r="105" spans="2:8" ht="17.399999999999999" hidden="1" customHeight="1">
      <c r="B105" s="4">
        <v>103</v>
      </c>
      <c r="C105" s="3" t="s">
        <v>235</v>
      </c>
      <c r="D105" s="3" t="s">
        <v>236</v>
      </c>
      <c r="E105" s="3" t="s">
        <v>36</v>
      </c>
      <c r="F105" s="3">
        <v>953619455</v>
      </c>
      <c r="G105" s="3">
        <v>21854655</v>
      </c>
      <c r="H105" t="e">
        <f>VLOOKUP(G105,consolidado!$A$2:$B$656,2,FALSE)</f>
        <v>#N/A</v>
      </c>
    </row>
    <row r="106" spans="2:8" ht="17.399999999999999" hidden="1" customHeight="1">
      <c r="B106" s="4">
        <v>104</v>
      </c>
      <c r="C106" s="3" t="s">
        <v>237</v>
      </c>
      <c r="D106" s="3" t="s">
        <v>238</v>
      </c>
      <c r="E106" s="3" t="s">
        <v>36</v>
      </c>
      <c r="F106" s="3">
        <v>945964998</v>
      </c>
      <c r="G106" s="3">
        <v>41721338</v>
      </c>
      <c r="H106" t="e">
        <f>VLOOKUP(G106,consolidado!$A$2:$B$656,2,FALSE)</f>
        <v>#N/A</v>
      </c>
    </row>
    <row r="107" spans="2:8" ht="17.399999999999999" hidden="1" customHeight="1">
      <c r="B107" s="4">
        <v>105</v>
      </c>
      <c r="C107" s="3" t="s">
        <v>239</v>
      </c>
      <c r="D107" s="3" t="s">
        <v>240</v>
      </c>
      <c r="E107" s="3" t="s">
        <v>8</v>
      </c>
      <c r="F107" s="3">
        <v>932964975</v>
      </c>
      <c r="G107" s="3">
        <v>21883163</v>
      </c>
      <c r="H107" t="e">
        <f>VLOOKUP(G107,consolidado!$A$2:$B$656,2,FALSE)</f>
        <v>#N/A</v>
      </c>
    </row>
    <row r="108" spans="2:8" ht="17.399999999999999" hidden="1" customHeight="1">
      <c r="B108" s="4">
        <v>106</v>
      </c>
      <c r="C108" s="3" t="s">
        <v>241</v>
      </c>
      <c r="D108" s="3" t="s">
        <v>242</v>
      </c>
      <c r="E108" s="3" t="s">
        <v>27</v>
      </c>
      <c r="F108" s="3">
        <v>946044404</v>
      </c>
      <c r="G108" s="3">
        <v>21884554</v>
      </c>
      <c r="H108" t="e">
        <f>VLOOKUP(G108,consolidado!$A$2:$B$656,2,FALSE)</f>
        <v>#N/A</v>
      </c>
    </row>
    <row r="109" spans="2:8" ht="17.399999999999999" hidden="1" customHeight="1">
      <c r="B109" s="4">
        <v>107</v>
      </c>
      <c r="C109" s="3" t="s">
        <v>243</v>
      </c>
      <c r="D109" s="3" t="s">
        <v>244</v>
      </c>
      <c r="E109" s="3" t="s">
        <v>19</v>
      </c>
      <c r="F109" s="3" t="s">
        <v>245</v>
      </c>
      <c r="G109" s="3">
        <v>75473800</v>
      </c>
      <c r="H109" t="e">
        <f>VLOOKUP(G109,consolidado!$A$2:$B$656,2,FALSE)</f>
        <v>#N/A</v>
      </c>
    </row>
    <row r="110" spans="2:8" ht="17.399999999999999" hidden="1" customHeight="1">
      <c r="B110" s="4">
        <v>108</v>
      </c>
      <c r="C110" s="3" t="s">
        <v>246</v>
      </c>
      <c r="D110" s="3" t="s">
        <v>247</v>
      </c>
      <c r="E110" s="3" t="s">
        <v>2</v>
      </c>
      <c r="F110" s="3" t="s">
        <v>248</v>
      </c>
      <c r="G110" s="3">
        <v>43085081</v>
      </c>
      <c r="H110" t="e">
        <f>VLOOKUP(G110,consolidado!$A$2:$B$656,2,FALSE)</f>
        <v>#N/A</v>
      </c>
    </row>
    <row r="111" spans="2:8" ht="17.399999999999999" hidden="1" customHeight="1">
      <c r="B111" s="4">
        <v>109</v>
      </c>
      <c r="C111" s="3" t="s">
        <v>249</v>
      </c>
      <c r="D111" s="3" t="s">
        <v>250</v>
      </c>
      <c r="E111" s="3" t="s">
        <v>27</v>
      </c>
      <c r="F111" s="3" t="s">
        <v>251</v>
      </c>
      <c r="G111" s="3">
        <v>76920562</v>
      </c>
      <c r="H111" t="e">
        <f>VLOOKUP(G111,consolidado!$A$2:$B$656,2,FALSE)</f>
        <v>#N/A</v>
      </c>
    </row>
    <row r="112" spans="2:8" ht="17.399999999999999" hidden="1" customHeight="1">
      <c r="B112" s="4">
        <v>110</v>
      </c>
      <c r="C112" s="3" t="s">
        <v>252</v>
      </c>
      <c r="D112" s="3" t="s">
        <v>253</v>
      </c>
      <c r="E112" s="3" t="s">
        <v>27</v>
      </c>
      <c r="F112" s="3" t="s">
        <v>254</v>
      </c>
      <c r="G112" s="3">
        <v>42517738</v>
      </c>
      <c r="H112" t="e">
        <f>VLOOKUP(G112,consolidado!$A$2:$B$656,2,FALSE)</f>
        <v>#N/A</v>
      </c>
    </row>
    <row r="113" spans="2:8" ht="17.399999999999999" hidden="1" customHeight="1">
      <c r="B113" s="4">
        <v>111</v>
      </c>
      <c r="C113" s="3" t="s">
        <v>255</v>
      </c>
      <c r="D113" s="3" t="s">
        <v>256</v>
      </c>
      <c r="E113" s="3" t="s">
        <v>2</v>
      </c>
      <c r="F113" s="3">
        <v>980996099</v>
      </c>
      <c r="G113" s="3">
        <v>41901626</v>
      </c>
      <c r="H113" t="e">
        <f>VLOOKUP(G113,consolidado!$A$2:$B$656,2,FALSE)</f>
        <v>#N/A</v>
      </c>
    </row>
    <row r="114" spans="2:8" ht="17.399999999999999" hidden="1" customHeight="1">
      <c r="B114" s="4">
        <v>112</v>
      </c>
      <c r="C114" s="3" t="s">
        <v>257</v>
      </c>
      <c r="D114" s="3" t="s">
        <v>258</v>
      </c>
      <c r="E114" s="3" t="s">
        <v>8</v>
      </c>
      <c r="F114" s="3">
        <v>963964118</v>
      </c>
      <c r="G114" s="3">
        <v>46096445</v>
      </c>
      <c r="H114" t="e">
        <f>VLOOKUP(G114,consolidado!$A$2:$B$656,2,FALSE)</f>
        <v>#N/A</v>
      </c>
    </row>
    <row r="115" spans="2:8" ht="17.399999999999999" hidden="1" customHeight="1">
      <c r="B115" s="4">
        <v>113</v>
      </c>
      <c r="C115" s="3" t="s">
        <v>259</v>
      </c>
      <c r="D115" s="3" t="s">
        <v>260</v>
      </c>
      <c r="E115" s="3" t="s">
        <v>8</v>
      </c>
      <c r="F115" s="3">
        <v>945842114</v>
      </c>
      <c r="G115" s="3">
        <v>21866009</v>
      </c>
      <c r="H115" t="e">
        <f>VLOOKUP(G115,consolidado!$A$2:$B$656,2,FALSE)</f>
        <v>#N/A</v>
      </c>
    </row>
    <row r="116" spans="2:8" ht="17.399999999999999" hidden="1" customHeight="1">
      <c r="B116" s="4">
        <v>114</v>
      </c>
      <c r="C116" s="3" t="s">
        <v>261</v>
      </c>
      <c r="D116" s="3" t="s">
        <v>262</v>
      </c>
      <c r="E116" s="3" t="s">
        <v>19</v>
      </c>
      <c r="F116" s="3" t="s">
        <v>263</v>
      </c>
      <c r="G116" s="3">
        <v>75660424</v>
      </c>
      <c r="H116" t="e">
        <f>VLOOKUP(G116,consolidado!$A$2:$B$656,2,FALSE)</f>
        <v>#N/A</v>
      </c>
    </row>
    <row r="117" spans="2:8" ht="17.399999999999999" hidden="1" customHeight="1">
      <c r="B117" s="4">
        <v>115</v>
      </c>
      <c r="C117" s="3" t="s">
        <v>264</v>
      </c>
      <c r="D117" s="3" t="s">
        <v>265</v>
      </c>
      <c r="E117" s="3" t="s">
        <v>5</v>
      </c>
      <c r="F117" s="3">
        <v>977704097</v>
      </c>
      <c r="G117" s="3">
        <v>72350287</v>
      </c>
      <c r="H117" t="e">
        <f>VLOOKUP(G117,consolidado!$A$2:$B$656,2,FALSE)</f>
        <v>#N/A</v>
      </c>
    </row>
    <row r="118" spans="2:8" ht="17.399999999999999" hidden="1" customHeight="1">
      <c r="B118" s="4">
        <v>116</v>
      </c>
      <c r="C118" s="3" t="s">
        <v>266</v>
      </c>
      <c r="D118" s="3" t="s">
        <v>267</v>
      </c>
      <c r="E118" s="3" t="s">
        <v>22</v>
      </c>
      <c r="F118" s="3">
        <v>936474324</v>
      </c>
      <c r="G118" s="3">
        <v>44840113</v>
      </c>
      <c r="H118" t="e">
        <f>VLOOKUP(G118,consolidado!$A$2:$B$656,2,FALSE)</f>
        <v>#N/A</v>
      </c>
    </row>
    <row r="119" spans="2:8" ht="17.399999999999999" hidden="1" customHeight="1">
      <c r="B119" s="4">
        <v>117</v>
      </c>
      <c r="C119" s="3" t="s">
        <v>268</v>
      </c>
      <c r="D119" s="3" t="s">
        <v>269</v>
      </c>
      <c r="E119" s="3" t="s">
        <v>5</v>
      </c>
      <c r="F119" s="3">
        <v>938185031</v>
      </c>
      <c r="G119" s="3">
        <v>71539460</v>
      </c>
      <c r="H119" t="e">
        <f>VLOOKUP(G119,consolidado!$A$2:$B$656,2,FALSE)</f>
        <v>#N/A</v>
      </c>
    </row>
    <row r="120" spans="2:8" ht="17.399999999999999" hidden="1" customHeight="1">
      <c r="B120" s="4">
        <v>118</v>
      </c>
      <c r="C120" s="3" t="s">
        <v>270</v>
      </c>
      <c r="D120" s="3" t="s">
        <v>271</v>
      </c>
      <c r="E120" s="3" t="s">
        <v>22</v>
      </c>
      <c r="F120" s="3" t="s">
        <v>272</v>
      </c>
      <c r="G120" s="3">
        <v>43650440</v>
      </c>
      <c r="H120" t="e">
        <f>VLOOKUP(G120,consolidado!$A$2:$B$656,2,FALSE)</f>
        <v>#N/A</v>
      </c>
    </row>
    <row r="121" spans="2:8" ht="17.399999999999999" hidden="1" customHeight="1">
      <c r="B121" s="4">
        <v>119</v>
      </c>
      <c r="C121" s="3" t="s">
        <v>273</v>
      </c>
      <c r="D121" s="3" t="s">
        <v>274</v>
      </c>
      <c r="E121" s="3" t="s">
        <v>2</v>
      </c>
      <c r="F121" s="3">
        <v>965696392</v>
      </c>
      <c r="G121" s="3">
        <v>21808481</v>
      </c>
      <c r="H121" t="e">
        <f>VLOOKUP(G121,consolidado!$A$2:$B$656,2,FALSE)</f>
        <v>#N/A</v>
      </c>
    </row>
    <row r="122" spans="2:8" ht="17.399999999999999" hidden="1" customHeight="1">
      <c r="B122" s="4">
        <v>120</v>
      </c>
      <c r="C122" s="3" t="s">
        <v>275</v>
      </c>
      <c r="D122" s="3" t="s">
        <v>276</v>
      </c>
      <c r="E122" s="3" t="s">
        <v>5</v>
      </c>
      <c r="F122" s="3">
        <v>989621952</v>
      </c>
      <c r="G122" s="3">
        <v>41784560</v>
      </c>
      <c r="H122" t="e">
        <f>VLOOKUP(G122,consolidado!$A$2:$B$656,2,FALSE)</f>
        <v>#N/A</v>
      </c>
    </row>
    <row r="123" spans="2:8" ht="17.399999999999999" hidden="1" customHeight="1">
      <c r="B123" s="4">
        <v>121</v>
      </c>
      <c r="C123" s="3" t="s">
        <v>277</v>
      </c>
      <c r="D123" s="3" t="s">
        <v>278</v>
      </c>
      <c r="E123" s="3" t="s">
        <v>8</v>
      </c>
      <c r="F123" s="3">
        <v>934223941</v>
      </c>
      <c r="G123" s="3">
        <v>40024626</v>
      </c>
      <c r="H123" t="e">
        <f>VLOOKUP(G123,consolidado!$A$2:$B$656,2,FALSE)</f>
        <v>#N/A</v>
      </c>
    </row>
    <row r="124" spans="2:8" ht="17.399999999999999" hidden="1" customHeight="1">
      <c r="B124" s="4">
        <v>122</v>
      </c>
      <c r="C124" s="3" t="s">
        <v>279</v>
      </c>
      <c r="D124" s="3" t="s">
        <v>280</v>
      </c>
      <c r="E124" s="3" t="s">
        <v>11</v>
      </c>
      <c r="F124" s="3">
        <v>912649846</v>
      </c>
      <c r="G124" s="3">
        <v>43656887</v>
      </c>
      <c r="H124" t="e">
        <f>VLOOKUP(G124,consolidado!$A$2:$B$656,2,FALSE)</f>
        <v>#N/A</v>
      </c>
    </row>
    <row r="125" spans="2:8" ht="17.399999999999999" hidden="1" customHeight="1">
      <c r="B125" s="4">
        <v>123</v>
      </c>
      <c r="C125" s="3" t="s">
        <v>281</v>
      </c>
      <c r="D125" s="3" t="s">
        <v>282</v>
      </c>
      <c r="E125" s="3" t="s">
        <v>27</v>
      </c>
      <c r="F125" s="3">
        <v>958525363</v>
      </c>
      <c r="G125" s="3">
        <v>45472467</v>
      </c>
      <c r="H125" t="e">
        <f>VLOOKUP(G125,consolidado!$A$2:$B$656,2,FALSE)</f>
        <v>#N/A</v>
      </c>
    </row>
    <row r="126" spans="2:8" ht="17.399999999999999" hidden="1" customHeight="1">
      <c r="B126" s="4">
        <v>124</v>
      </c>
      <c r="C126" s="3" t="s">
        <v>283</v>
      </c>
      <c r="D126" s="3" t="s">
        <v>284</v>
      </c>
      <c r="E126" s="3" t="s">
        <v>19</v>
      </c>
      <c r="F126" s="3" t="s">
        <v>285</v>
      </c>
      <c r="G126" s="3">
        <v>73822413</v>
      </c>
      <c r="H126" t="e">
        <f>VLOOKUP(G126,consolidado!$A$2:$B$656,2,FALSE)</f>
        <v>#N/A</v>
      </c>
    </row>
    <row r="127" spans="2:8" ht="17.399999999999999" hidden="1" customHeight="1">
      <c r="B127" s="4">
        <v>125</v>
      </c>
      <c r="C127" s="3" t="s">
        <v>286</v>
      </c>
      <c r="D127" s="3" t="s">
        <v>287</v>
      </c>
      <c r="E127" s="3" t="s">
        <v>19</v>
      </c>
      <c r="F127" s="3">
        <v>960490261</v>
      </c>
      <c r="G127" s="3">
        <v>41008421</v>
      </c>
      <c r="H127" t="e">
        <f>VLOOKUP(G127,consolidado!$A$2:$B$656,2,FALSE)</f>
        <v>#N/A</v>
      </c>
    </row>
    <row r="128" spans="2:8" ht="17.399999999999999" hidden="1" customHeight="1">
      <c r="B128" s="4">
        <v>126</v>
      </c>
      <c r="C128" s="3" t="s">
        <v>288</v>
      </c>
      <c r="D128" s="3" t="s">
        <v>289</v>
      </c>
      <c r="E128" s="3" t="s">
        <v>22</v>
      </c>
      <c r="F128" s="3" t="s">
        <v>290</v>
      </c>
      <c r="G128" s="3">
        <v>21883633</v>
      </c>
      <c r="H128" t="e">
        <f>VLOOKUP(G128,consolidado!$A$2:$B$656,2,FALSE)</f>
        <v>#N/A</v>
      </c>
    </row>
    <row r="129" spans="2:8" ht="17.399999999999999" hidden="1" customHeight="1">
      <c r="B129" s="4">
        <v>127</v>
      </c>
      <c r="C129" s="3" t="s">
        <v>291</v>
      </c>
      <c r="D129" s="3" t="s">
        <v>292</v>
      </c>
      <c r="E129" s="3" t="s">
        <v>11</v>
      </c>
      <c r="F129" s="3">
        <v>960687397</v>
      </c>
      <c r="G129" s="3">
        <v>41525338</v>
      </c>
      <c r="H129" t="e">
        <f>VLOOKUP(G129,consolidado!$A$2:$B$656,2,FALSE)</f>
        <v>#N/A</v>
      </c>
    </row>
    <row r="130" spans="2:8" ht="17.399999999999999" hidden="1" customHeight="1">
      <c r="B130" s="4">
        <v>128</v>
      </c>
      <c r="C130" s="3" t="s">
        <v>293</v>
      </c>
      <c r="D130" s="3" t="s">
        <v>294</v>
      </c>
      <c r="E130" s="3" t="s">
        <v>11</v>
      </c>
      <c r="F130" s="3">
        <v>955267416</v>
      </c>
      <c r="G130" s="3">
        <v>42912738</v>
      </c>
      <c r="H130" t="e">
        <f>VLOOKUP(G130,consolidado!$A$2:$B$656,2,FALSE)</f>
        <v>#N/A</v>
      </c>
    </row>
    <row r="131" spans="2:8" ht="17.399999999999999" hidden="1" customHeight="1">
      <c r="B131" s="4">
        <v>129</v>
      </c>
      <c r="C131" s="3" t="s">
        <v>295</v>
      </c>
      <c r="D131" s="3" t="s">
        <v>296</v>
      </c>
      <c r="E131" s="3" t="s">
        <v>8</v>
      </c>
      <c r="F131" s="3">
        <v>984001622</v>
      </c>
      <c r="G131" s="3">
        <v>42139473</v>
      </c>
      <c r="H131" t="e">
        <f>VLOOKUP(G131,consolidado!$A$2:$B$656,2,FALSE)</f>
        <v>#N/A</v>
      </c>
    </row>
    <row r="132" spans="2:8" ht="17.399999999999999" hidden="1" customHeight="1">
      <c r="B132" s="4">
        <v>130</v>
      </c>
      <c r="C132" s="3" t="s">
        <v>297</v>
      </c>
      <c r="D132" s="3" t="s">
        <v>298</v>
      </c>
      <c r="E132" s="3" t="s">
        <v>19</v>
      </c>
      <c r="F132" s="3" t="s">
        <v>299</v>
      </c>
      <c r="G132" s="3">
        <v>73208845</v>
      </c>
      <c r="H132" t="e">
        <f>VLOOKUP(G132,consolidado!$A$2:$B$656,2,FALSE)</f>
        <v>#N/A</v>
      </c>
    </row>
    <row r="133" spans="2:8" ht="17.399999999999999" hidden="1" customHeight="1">
      <c r="B133" s="4">
        <v>131</v>
      </c>
      <c r="C133" s="3" t="s">
        <v>300</v>
      </c>
      <c r="D133" s="3" t="s">
        <v>301</v>
      </c>
      <c r="E133" s="3" t="s">
        <v>36</v>
      </c>
      <c r="F133" s="3">
        <v>956894087</v>
      </c>
      <c r="G133" s="3">
        <v>21873759</v>
      </c>
      <c r="H133" t="e">
        <f>VLOOKUP(G133,consolidado!$A$2:$B$656,2,FALSE)</f>
        <v>#N/A</v>
      </c>
    </row>
    <row r="134" spans="2:8" ht="17.399999999999999" hidden="1" customHeight="1">
      <c r="B134" s="4">
        <v>132</v>
      </c>
      <c r="C134" s="3" t="s">
        <v>302</v>
      </c>
      <c r="D134" s="3" t="s">
        <v>303</v>
      </c>
      <c r="E134" s="3" t="s">
        <v>27</v>
      </c>
      <c r="F134" s="3" t="s">
        <v>304</v>
      </c>
      <c r="G134" s="3">
        <v>42876347</v>
      </c>
      <c r="H134" t="e">
        <f>VLOOKUP(G134,consolidado!$A$2:$B$656,2,FALSE)</f>
        <v>#N/A</v>
      </c>
    </row>
    <row r="135" spans="2:8" ht="17.399999999999999" hidden="1" customHeight="1">
      <c r="B135" s="4">
        <v>133</v>
      </c>
      <c r="C135" s="3" t="s">
        <v>305</v>
      </c>
      <c r="D135" s="3" t="s">
        <v>306</v>
      </c>
      <c r="E135" s="3" t="s">
        <v>22</v>
      </c>
      <c r="F135" s="3">
        <v>997310787</v>
      </c>
      <c r="G135" s="3">
        <v>62723842</v>
      </c>
      <c r="H135" t="e">
        <f>VLOOKUP(G135,consolidado!$A$2:$B$656,2,FALSE)</f>
        <v>#N/A</v>
      </c>
    </row>
    <row r="136" spans="2:8" ht="17.399999999999999" hidden="1" customHeight="1">
      <c r="B136" s="4">
        <v>134</v>
      </c>
      <c r="C136" s="3" t="s">
        <v>307</v>
      </c>
      <c r="D136" s="3" t="s">
        <v>308</v>
      </c>
      <c r="E136" s="3" t="s">
        <v>27</v>
      </c>
      <c r="F136" s="3">
        <v>981696000</v>
      </c>
      <c r="G136" s="3">
        <v>45204141</v>
      </c>
      <c r="H136" t="e">
        <f>VLOOKUP(G136,consolidado!$A$2:$B$656,2,FALSE)</f>
        <v>#N/A</v>
      </c>
    </row>
    <row r="137" spans="2:8" ht="17.399999999999999" hidden="1" customHeight="1">
      <c r="B137" s="4">
        <v>135</v>
      </c>
      <c r="C137" s="3" t="s">
        <v>309</v>
      </c>
      <c r="D137" s="3" t="s">
        <v>310</v>
      </c>
      <c r="E137" s="3" t="s">
        <v>2</v>
      </c>
      <c r="F137" s="3">
        <v>955928615</v>
      </c>
      <c r="G137" s="3">
        <v>21870467</v>
      </c>
      <c r="H137" t="e">
        <f>VLOOKUP(G137,consolidado!$A$2:$B$656,2,FALSE)</f>
        <v>#N/A</v>
      </c>
    </row>
    <row r="138" spans="2:8" ht="17.399999999999999" hidden="1" customHeight="1">
      <c r="B138" s="4">
        <v>136</v>
      </c>
      <c r="C138" s="3" t="s">
        <v>311</v>
      </c>
      <c r="D138" s="3" t="s">
        <v>312</v>
      </c>
      <c r="E138" s="3" t="s">
        <v>36</v>
      </c>
      <c r="F138" s="3">
        <v>955227823</v>
      </c>
      <c r="G138" s="3">
        <v>21885316</v>
      </c>
      <c r="H138" t="e">
        <f>VLOOKUP(G138,consolidado!$A$2:$B$656,2,FALSE)</f>
        <v>#N/A</v>
      </c>
    </row>
    <row r="139" spans="2:8" ht="17.399999999999999" hidden="1" customHeight="1">
      <c r="B139" s="4">
        <v>137</v>
      </c>
      <c r="C139" s="3" t="s">
        <v>313</v>
      </c>
      <c r="D139" s="3" t="s">
        <v>314</v>
      </c>
      <c r="E139" s="3" t="s">
        <v>22</v>
      </c>
      <c r="F139" s="3">
        <v>972054970</v>
      </c>
      <c r="G139" s="3">
        <v>71460153</v>
      </c>
      <c r="H139" t="e">
        <f>VLOOKUP(G139,consolidado!$A$2:$B$656,2,FALSE)</f>
        <v>#N/A</v>
      </c>
    </row>
    <row r="140" spans="2:8" ht="17.399999999999999" hidden="1" customHeight="1">
      <c r="B140" s="4">
        <v>138</v>
      </c>
      <c r="C140" s="3" t="s">
        <v>315</v>
      </c>
      <c r="D140" s="3" t="s">
        <v>316</v>
      </c>
      <c r="E140" s="3" t="s">
        <v>317</v>
      </c>
      <c r="F140" s="3">
        <v>914853211</v>
      </c>
      <c r="G140" s="3">
        <v>21830221</v>
      </c>
      <c r="H140" t="e">
        <f>VLOOKUP(G140,consolidado!$A$2:$B$656,2,FALSE)</f>
        <v>#N/A</v>
      </c>
    </row>
    <row r="141" spans="2:8" ht="17.399999999999999" hidden="1" customHeight="1">
      <c r="B141" s="4">
        <v>139</v>
      </c>
      <c r="C141" s="3" t="s">
        <v>318</v>
      </c>
      <c r="D141" s="3" t="s">
        <v>319</v>
      </c>
      <c r="E141" s="3" t="s">
        <v>230</v>
      </c>
      <c r="F141" s="3">
        <v>960636093</v>
      </c>
      <c r="G141" s="3">
        <v>74417191</v>
      </c>
      <c r="H141" t="e">
        <f>VLOOKUP(G141,consolidado!$A$2:$B$656,2,FALSE)</f>
        <v>#N/A</v>
      </c>
    </row>
    <row r="142" spans="2:8" ht="17.399999999999999" hidden="1" customHeight="1">
      <c r="B142" s="4">
        <v>140</v>
      </c>
      <c r="C142" s="3" t="s">
        <v>320</v>
      </c>
      <c r="D142" s="3" t="s">
        <v>321</v>
      </c>
      <c r="E142" s="3" t="s">
        <v>106</v>
      </c>
      <c r="F142" s="3" t="s">
        <v>322</v>
      </c>
      <c r="G142" s="3">
        <v>41191803</v>
      </c>
      <c r="H142" t="e">
        <f>VLOOKUP(G142,consolidado!$A$2:$B$656,2,FALSE)</f>
        <v>#N/A</v>
      </c>
    </row>
    <row r="143" spans="2:8" ht="17.399999999999999" hidden="1" customHeight="1">
      <c r="B143" s="4">
        <v>141</v>
      </c>
      <c r="C143" s="3" t="s">
        <v>323</v>
      </c>
      <c r="D143" s="3" t="s">
        <v>324</v>
      </c>
      <c r="E143" s="3" t="s">
        <v>71</v>
      </c>
      <c r="F143" s="3">
        <v>976531454</v>
      </c>
      <c r="G143" s="3">
        <v>43907394</v>
      </c>
      <c r="H143" t="e">
        <f>VLOOKUP(G143,consolidado!$A$2:$B$656,2,FALSE)</f>
        <v>#N/A</v>
      </c>
    </row>
    <row r="144" spans="2:8" ht="17.399999999999999" hidden="1" customHeight="1">
      <c r="B144" s="4">
        <v>142</v>
      </c>
      <c r="C144" s="3" t="s">
        <v>325</v>
      </c>
      <c r="D144" s="3" t="s">
        <v>326</v>
      </c>
      <c r="E144" s="3" t="s">
        <v>106</v>
      </c>
      <c r="F144" s="3">
        <v>986716266</v>
      </c>
      <c r="G144" s="3">
        <v>60752783</v>
      </c>
      <c r="H144" t="e">
        <f>VLOOKUP(G144,consolidado!$A$2:$B$656,2,FALSE)</f>
        <v>#N/A</v>
      </c>
    </row>
    <row r="145" spans="2:8" ht="17.399999999999999" hidden="1" customHeight="1">
      <c r="B145" s="4">
        <v>143</v>
      </c>
      <c r="C145" s="3" t="s">
        <v>327</v>
      </c>
      <c r="D145" s="3" t="s">
        <v>328</v>
      </c>
      <c r="E145" s="3" t="s">
        <v>71</v>
      </c>
      <c r="F145" s="3">
        <v>936451639</v>
      </c>
      <c r="G145" s="3">
        <v>40607609</v>
      </c>
      <c r="H145" t="e">
        <f>VLOOKUP(G145,consolidado!$A$2:$B$656,2,FALSE)</f>
        <v>#N/A</v>
      </c>
    </row>
    <row r="146" spans="2:8" ht="17.399999999999999" hidden="1" customHeight="1">
      <c r="B146" s="4">
        <v>144</v>
      </c>
      <c r="C146" s="3" t="s">
        <v>329</v>
      </c>
      <c r="D146" s="3" t="s">
        <v>330</v>
      </c>
      <c r="E146" s="3" t="s">
        <v>36</v>
      </c>
      <c r="F146" s="3" t="s">
        <v>331</v>
      </c>
      <c r="G146" s="3">
        <v>40092221</v>
      </c>
      <c r="H146" t="e">
        <f>VLOOKUP(G146,consolidado!$A$2:$B$656,2,FALSE)</f>
        <v>#N/A</v>
      </c>
    </row>
    <row r="147" spans="2:8" ht="17.399999999999999" hidden="1" customHeight="1">
      <c r="B147" s="4">
        <v>145</v>
      </c>
      <c r="C147" s="3" t="s">
        <v>332</v>
      </c>
      <c r="D147" s="3" t="s">
        <v>333</v>
      </c>
      <c r="E147" s="3" t="s">
        <v>334</v>
      </c>
      <c r="F147" s="3">
        <v>936457904</v>
      </c>
      <c r="G147" s="3">
        <v>21783726</v>
      </c>
      <c r="H147" t="e">
        <f>VLOOKUP(G147,consolidado!$A$2:$B$656,2,FALSE)</f>
        <v>#N/A</v>
      </c>
    </row>
    <row r="148" spans="2:8" ht="17.399999999999999" hidden="1" customHeight="1">
      <c r="B148" s="4">
        <v>146</v>
      </c>
      <c r="C148" s="3" t="s">
        <v>335</v>
      </c>
      <c r="D148" s="3" t="s">
        <v>336</v>
      </c>
      <c r="E148" s="3" t="s">
        <v>19</v>
      </c>
      <c r="F148" s="3" t="s">
        <v>337</v>
      </c>
      <c r="G148" s="3">
        <v>72485056</v>
      </c>
      <c r="H148" t="e">
        <f>VLOOKUP(G148,consolidado!$A$2:$B$656,2,FALSE)</f>
        <v>#N/A</v>
      </c>
    </row>
    <row r="149" spans="2:8" ht="17.399999999999999" hidden="1" customHeight="1">
      <c r="B149" s="4">
        <v>147</v>
      </c>
      <c r="C149" s="3" t="s">
        <v>338</v>
      </c>
      <c r="D149" s="3" t="s">
        <v>339</v>
      </c>
      <c r="E149" s="3" t="s">
        <v>22</v>
      </c>
      <c r="F149" s="3" t="s">
        <v>340</v>
      </c>
      <c r="G149" s="3">
        <v>40597904</v>
      </c>
      <c r="H149" t="e">
        <f>VLOOKUP(G149,consolidado!$A$2:$B$656,2,FALSE)</f>
        <v>#N/A</v>
      </c>
    </row>
    <row r="150" spans="2:8" ht="17.399999999999999" hidden="1" customHeight="1">
      <c r="B150" s="4">
        <v>148</v>
      </c>
      <c r="C150" s="3" t="s">
        <v>341</v>
      </c>
      <c r="D150" s="3" t="s">
        <v>342</v>
      </c>
      <c r="E150" s="3" t="s">
        <v>126</v>
      </c>
      <c r="F150" s="3" t="s">
        <v>343</v>
      </c>
      <c r="G150" s="3">
        <v>21788723</v>
      </c>
      <c r="H150" t="e">
        <f>VLOOKUP(G150,consolidado!$A$2:$B$656,2,FALSE)</f>
        <v>#N/A</v>
      </c>
    </row>
    <row r="151" spans="2:8" ht="17.399999999999999" hidden="1" customHeight="1">
      <c r="B151" s="4">
        <v>149</v>
      </c>
      <c r="C151" s="3" t="s">
        <v>344</v>
      </c>
      <c r="D151" s="3" t="s">
        <v>345</v>
      </c>
      <c r="E151" s="3" t="s">
        <v>126</v>
      </c>
      <c r="F151" s="3">
        <v>934817787</v>
      </c>
      <c r="G151" s="3">
        <v>74945376</v>
      </c>
      <c r="H151" t="e">
        <f>VLOOKUP(G151,consolidado!$A$2:$B$656,2,FALSE)</f>
        <v>#N/A</v>
      </c>
    </row>
    <row r="152" spans="2:8" ht="17.399999999999999" hidden="1" customHeight="1">
      <c r="B152" s="4">
        <v>150</v>
      </c>
      <c r="C152" s="3" t="s">
        <v>346</v>
      </c>
      <c r="D152" s="3" t="s">
        <v>347</v>
      </c>
      <c r="E152" s="3" t="s">
        <v>36</v>
      </c>
      <c r="F152" s="3" t="s">
        <v>348</v>
      </c>
      <c r="G152" s="3">
        <v>42508966</v>
      </c>
      <c r="H152" t="e">
        <f>VLOOKUP(G152,consolidado!$A$2:$B$656,2,FALSE)</f>
        <v>#N/A</v>
      </c>
    </row>
    <row r="153" spans="2:8" ht="17.399999999999999" hidden="1" customHeight="1">
      <c r="B153" s="4">
        <v>151</v>
      </c>
      <c r="C153" s="3" t="s">
        <v>349</v>
      </c>
      <c r="D153" s="3" t="s">
        <v>350</v>
      </c>
      <c r="E153" s="3" t="s">
        <v>126</v>
      </c>
      <c r="F153" s="3" t="s">
        <v>351</v>
      </c>
      <c r="G153" s="3">
        <v>42698548</v>
      </c>
      <c r="H153" t="e">
        <f>VLOOKUP(G153,consolidado!$A$2:$B$656,2,FALSE)</f>
        <v>#N/A</v>
      </c>
    </row>
    <row r="154" spans="2:8" ht="17.399999999999999" hidden="1" customHeight="1">
      <c r="B154" s="4">
        <v>152</v>
      </c>
      <c r="C154" s="3" t="s">
        <v>352</v>
      </c>
      <c r="D154" s="3" t="s">
        <v>353</v>
      </c>
      <c r="E154" s="3" t="s">
        <v>126</v>
      </c>
      <c r="F154" s="3" t="s">
        <v>354</v>
      </c>
      <c r="G154" s="3">
        <v>21519428</v>
      </c>
      <c r="H154" t="e">
        <f>VLOOKUP(G154,consolidado!$A$2:$B$656,2,FALSE)</f>
        <v>#N/A</v>
      </c>
    </row>
    <row r="155" spans="2:8" ht="17.399999999999999" hidden="1" customHeight="1">
      <c r="B155" s="4">
        <v>153</v>
      </c>
      <c r="C155" s="3" t="s">
        <v>355</v>
      </c>
      <c r="D155" s="3" t="s">
        <v>356</v>
      </c>
      <c r="E155" s="3" t="s">
        <v>126</v>
      </c>
      <c r="F155" s="3" t="s">
        <v>357</v>
      </c>
      <c r="G155" s="3">
        <v>41538126</v>
      </c>
      <c r="H155" t="e">
        <f>VLOOKUP(G155,consolidado!$A$2:$B$656,2,FALSE)</f>
        <v>#N/A</v>
      </c>
    </row>
    <row r="156" spans="2:8" ht="17.399999999999999" hidden="1" customHeight="1">
      <c r="B156" s="4">
        <v>154</v>
      </c>
      <c r="C156" s="3" t="s">
        <v>358</v>
      </c>
      <c r="D156" s="3" t="s">
        <v>359</v>
      </c>
      <c r="E156" s="3" t="s">
        <v>11</v>
      </c>
      <c r="F156" s="3" t="s">
        <v>360</v>
      </c>
      <c r="G156" s="3">
        <v>40011025</v>
      </c>
      <c r="H156" t="e">
        <f>VLOOKUP(G156,consolidado!$A$2:$B$656,2,FALSE)</f>
        <v>#N/A</v>
      </c>
    </row>
    <row r="157" spans="2:8" ht="17.399999999999999" hidden="1" customHeight="1">
      <c r="B157" s="4">
        <v>155</v>
      </c>
      <c r="C157" s="3" t="s">
        <v>361</v>
      </c>
      <c r="D157" s="3" t="s">
        <v>362</v>
      </c>
      <c r="E157" s="3" t="s">
        <v>22</v>
      </c>
      <c r="F157" s="3">
        <v>955127262</v>
      </c>
      <c r="G157" s="3">
        <v>71616251</v>
      </c>
      <c r="H157" t="e">
        <f>VLOOKUP(G157,consolidado!$A$2:$B$656,2,FALSE)</f>
        <v>#N/A</v>
      </c>
    </row>
    <row r="158" spans="2:8" ht="17.399999999999999" hidden="1" customHeight="1">
      <c r="B158" s="4">
        <v>156</v>
      </c>
      <c r="C158" s="3" t="s">
        <v>363</v>
      </c>
      <c r="D158" s="3" t="s">
        <v>364</v>
      </c>
      <c r="E158" s="3" t="s">
        <v>317</v>
      </c>
      <c r="F158" s="3" t="s">
        <v>365</v>
      </c>
      <c r="G158" s="3">
        <v>41509694</v>
      </c>
      <c r="H158" t="e">
        <f>VLOOKUP(G158,consolidado!$A$2:$B$656,2,FALSE)</f>
        <v>#N/A</v>
      </c>
    </row>
    <row r="159" spans="2:8" ht="17.399999999999999" customHeight="1">
      <c r="B159" s="4">
        <v>157</v>
      </c>
      <c r="C159" s="3" t="s">
        <v>366</v>
      </c>
      <c r="D159" s="3" t="s">
        <v>367</v>
      </c>
      <c r="E159" s="3" t="s">
        <v>22</v>
      </c>
      <c r="F159" s="3">
        <v>967858605</v>
      </c>
      <c r="G159" s="3">
        <v>21846038</v>
      </c>
      <c r="H159" t="e">
        <f>VLOOKUP(G159,consolidado!$A$2:$B$656,2,FALSE)</f>
        <v>#N/A</v>
      </c>
    </row>
    <row r="160" spans="2:8" ht="17.399999999999999" hidden="1" customHeight="1">
      <c r="B160" s="4">
        <v>158</v>
      </c>
      <c r="C160" s="3" t="s">
        <v>368</v>
      </c>
      <c r="D160" s="3" t="s">
        <v>369</v>
      </c>
      <c r="E160" s="3" t="s">
        <v>5</v>
      </c>
      <c r="F160" s="3">
        <v>994986103</v>
      </c>
      <c r="G160" s="3">
        <v>76527110</v>
      </c>
      <c r="H160" t="e">
        <f>VLOOKUP(G160,consolidado!$A$2:$B$656,2,FALSE)</f>
        <v>#N/A</v>
      </c>
    </row>
    <row r="161" spans="2:8" ht="17.399999999999999" hidden="1" customHeight="1">
      <c r="B161" s="4">
        <v>159</v>
      </c>
      <c r="C161" s="3" t="s">
        <v>370</v>
      </c>
      <c r="D161" s="3" t="s">
        <v>371</v>
      </c>
      <c r="E161" s="3" t="s">
        <v>19</v>
      </c>
      <c r="F161" s="3">
        <v>956501165</v>
      </c>
      <c r="G161" s="3">
        <v>75064714</v>
      </c>
      <c r="H161" t="e">
        <f>VLOOKUP(G161,consolidado!$A$2:$B$656,2,FALSE)</f>
        <v>#N/A</v>
      </c>
    </row>
    <row r="162" spans="2:8" ht="17.399999999999999" hidden="1" customHeight="1">
      <c r="B162" s="4">
        <v>160</v>
      </c>
      <c r="C162" s="3" t="s">
        <v>372</v>
      </c>
      <c r="D162" s="3" t="s">
        <v>373</v>
      </c>
      <c r="E162" s="3" t="s">
        <v>126</v>
      </c>
      <c r="F162" s="3">
        <v>923584871</v>
      </c>
      <c r="G162" s="3">
        <v>41440625</v>
      </c>
      <c r="H162" t="e">
        <f>VLOOKUP(G162,consolidado!$A$2:$B$656,2,FALSE)</f>
        <v>#N/A</v>
      </c>
    </row>
    <row r="163" spans="2:8" ht="17.399999999999999" hidden="1" customHeight="1">
      <c r="B163" s="4">
        <v>161</v>
      </c>
      <c r="C163" s="3" t="s">
        <v>374</v>
      </c>
      <c r="D163" s="3" t="s">
        <v>375</v>
      </c>
      <c r="E163" s="3" t="s">
        <v>99</v>
      </c>
      <c r="F163" s="3">
        <v>965220433</v>
      </c>
      <c r="G163" s="3">
        <v>74060377</v>
      </c>
      <c r="H163" t="e">
        <f>VLOOKUP(G163,consolidado!$A$2:$B$656,2,FALSE)</f>
        <v>#N/A</v>
      </c>
    </row>
    <row r="164" spans="2:8" ht="17.399999999999999" hidden="1" customHeight="1">
      <c r="B164" s="4">
        <v>162</v>
      </c>
      <c r="C164" s="3" t="s">
        <v>376</v>
      </c>
      <c r="D164" s="3" t="s">
        <v>377</v>
      </c>
      <c r="E164" s="3" t="s">
        <v>99</v>
      </c>
      <c r="F164" s="3">
        <v>904612007</v>
      </c>
      <c r="G164" s="3">
        <v>21859806</v>
      </c>
      <c r="H164" t="e">
        <f>VLOOKUP(G164,consolidado!$A$2:$B$656,2,FALSE)</f>
        <v>#N/A</v>
      </c>
    </row>
    <row r="165" spans="2:8" ht="17.399999999999999" hidden="1" customHeight="1">
      <c r="B165" s="4">
        <v>163</v>
      </c>
      <c r="C165" s="3" t="s">
        <v>378</v>
      </c>
      <c r="D165" s="3" t="s">
        <v>379</v>
      </c>
      <c r="E165" s="3" t="s">
        <v>14</v>
      </c>
      <c r="F165" s="3">
        <v>932233737</v>
      </c>
      <c r="G165" s="3">
        <v>21799902</v>
      </c>
      <c r="H165" t="e">
        <f>VLOOKUP(G165,consolidado!$A$2:$B$656,2,FALSE)</f>
        <v>#N/A</v>
      </c>
    </row>
    <row r="166" spans="2:8" ht="17.399999999999999" hidden="1" customHeight="1">
      <c r="B166" s="4">
        <v>164</v>
      </c>
      <c r="C166" s="3" t="s">
        <v>380</v>
      </c>
      <c r="D166" s="3" t="s">
        <v>381</v>
      </c>
      <c r="E166" s="3" t="s">
        <v>99</v>
      </c>
      <c r="F166" s="3">
        <v>923014014</v>
      </c>
      <c r="G166" s="3">
        <v>21815108</v>
      </c>
      <c r="H166" t="e">
        <f>VLOOKUP(G166,consolidado!$A$2:$B$656,2,FALSE)</f>
        <v>#N/A</v>
      </c>
    </row>
    <row r="167" spans="2:8" ht="17.399999999999999" hidden="1" customHeight="1">
      <c r="B167" s="4">
        <v>165</v>
      </c>
      <c r="C167" s="3" t="s">
        <v>382</v>
      </c>
      <c r="D167" s="3" t="s">
        <v>383</v>
      </c>
      <c r="E167" s="3" t="s">
        <v>99</v>
      </c>
      <c r="F167" s="3">
        <v>936301541</v>
      </c>
      <c r="G167" s="3">
        <v>21782325</v>
      </c>
      <c r="H167" t="e">
        <f>VLOOKUP(G167,consolidado!$A$2:$B$656,2,FALSE)</f>
        <v>#N/A</v>
      </c>
    </row>
    <row r="168" spans="2:8" ht="17.399999999999999" hidden="1" customHeight="1">
      <c r="B168" s="4">
        <v>166</v>
      </c>
      <c r="C168" s="3" t="s">
        <v>384</v>
      </c>
      <c r="D168" s="3" t="s">
        <v>385</v>
      </c>
      <c r="E168" s="3" t="s">
        <v>8</v>
      </c>
      <c r="F168" s="3">
        <v>952911138</v>
      </c>
      <c r="G168" s="3">
        <v>44570382</v>
      </c>
      <c r="H168" t="e">
        <f>VLOOKUP(G168,consolidado!$A$2:$B$656,2,FALSE)</f>
        <v>#N/A</v>
      </c>
    </row>
    <row r="169" spans="2:8" ht="17.399999999999999" customHeight="1">
      <c r="B169" s="4">
        <v>167</v>
      </c>
      <c r="C169" s="3" t="s">
        <v>386</v>
      </c>
      <c r="D169" s="3" t="s">
        <v>387</v>
      </c>
      <c r="E169" s="3" t="s">
        <v>99</v>
      </c>
      <c r="F169" s="3">
        <v>941846283</v>
      </c>
      <c r="G169" s="3">
        <v>44310344</v>
      </c>
      <c r="H169" t="e">
        <f>VLOOKUP(G169,consolidado!$A$2:$B$656,2,FALSE)</f>
        <v>#N/A</v>
      </c>
    </row>
    <row r="170" spans="2:8" ht="17.399999999999999" customHeight="1">
      <c r="B170" s="4">
        <v>168</v>
      </c>
      <c r="C170" s="3" t="s">
        <v>388</v>
      </c>
      <c r="D170" s="3" t="s">
        <v>389</v>
      </c>
      <c r="E170" s="3" t="s">
        <v>19</v>
      </c>
      <c r="F170" s="3">
        <v>949474917</v>
      </c>
      <c r="G170" s="3">
        <v>44221625</v>
      </c>
      <c r="H170" t="e">
        <f>VLOOKUP(G170,consolidado!$A$2:$B$656,2,FALSE)</f>
        <v>#N/A</v>
      </c>
    </row>
    <row r="171" spans="2:8" ht="17.399999999999999" hidden="1" customHeight="1">
      <c r="B171" s="4">
        <v>169</v>
      </c>
      <c r="C171" s="3" t="s">
        <v>390</v>
      </c>
      <c r="D171" s="3" t="s">
        <v>391</v>
      </c>
      <c r="E171" s="3" t="s">
        <v>135</v>
      </c>
      <c r="F171" s="3">
        <v>950902644</v>
      </c>
      <c r="G171" s="3">
        <v>21847118</v>
      </c>
      <c r="H171" t="e">
        <f>VLOOKUP(G171,consolidado!$A$2:$B$656,2,FALSE)</f>
        <v>#N/A</v>
      </c>
    </row>
    <row r="172" spans="2:8" ht="17.399999999999999" hidden="1" customHeight="1">
      <c r="B172" s="4">
        <v>170</v>
      </c>
      <c r="C172" s="3" t="s">
        <v>392</v>
      </c>
      <c r="D172" s="3" t="s">
        <v>393</v>
      </c>
      <c r="E172" s="3" t="s">
        <v>334</v>
      </c>
      <c r="F172" s="3">
        <v>932491421</v>
      </c>
      <c r="G172" s="3">
        <v>75800215</v>
      </c>
      <c r="H172" t="e">
        <f>VLOOKUP(G172,consolidado!$A$2:$B$656,2,FALSE)</f>
        <v>#N/A</v>
      </c>
    </row>
    <row r="173" spans="2:8" ht="17.399999999999999" hidden="1" customHeight="1">
      <c r="B173" s="4">
        <v>171</v>
      </c>
      <c r="C173" s="3" t="s">
        <v>394</v>
      </c>
      <c r="D173" s="3" t="s">
        <v>395</v>
      </c>
      <c r="E173" s="3" t="s">
        <v>334</v>
      </c>
      <c r="F173" s="3">
        <v>924638884</v>
      </c>
      <c r="G173" s="3">
        <v>21878465</v>
      </c>
      <c r="H173" t="e">
        <f>VLOOKUP(G173,consolidado!$A$2:$B$656,2,FALSE)</f>
        <v>#N/A</v>
      </c>
    </row>
    <row r="174" spans="2:8" ht="17.399999999999999" hidden="1" customHeight="1">
      <c r="B174" s="4">
        <v>172</v>
      </c>
      <c r="C174" s="3" t="s">
        <v>396</v>
      </c>
      <c r="D174" s="3" t="s">
        <v>397</v>
      </c>
      <c r="E174" s="3" t="s">
        <v>27</v>
      </c>
      <c r="F174" s="3">
        <v>902746205</v>
      </c>
      <c r="G174" s="3">
        <v>41886432</v>
      </c>
      <c r="H174" t="e">
        <f>VLOOKUP(G174,consolidado!$A$2:$B$656,2,FALSE)</f>
        <v>#N/A</v>
      </c>
    </row>
    <row r="175" spans="2:8" ht="17.399999999999999" hidden="1" customHeight="1">
      <c r="B175" s="4">
        <v>173</v>
      </c>
      <c r="C175" s="3" t="s">
        <v>398</v>
      </c>
      <c r="D175" s="3" t="s">
        <v>399</v>
      </c>
      <c r="E175" s="3" t="s">
        <v>126</v>
      </c>
      <c r="F175" s="3">
        <v>997588370</v>
      </c>
      <c r="G175" s="3" t="s">
        <v>400</v>
      </c>
      <c r="H175" t="e">
        <f>VLOOKUP(G175,consolidado!$A$2:$B$656,2,FALSE)</f>
        <v>#N/A</v>
      </c>
    </row>
    <row r="176" spans="2:8" ht="17.399999999999999" hidden="1" customHeight="1">
      <c r="B176" s="4">
        <v>174</v>
      </c>
      <c r="C176" s="3" t="s">
        <v>401</v>
      </c>
      <c r="D176" s="3" t="s">
        <v>402</v>
      </c>
      <c r="E176" s="3" t="s">
        <v>135</v>
      </c>
      <c r="F176" s="3">
        <v>956287582</v>
      </c>
      <c r="G176" s="3">
        <v>40803237</v>
      </c>
      <c r="H176" t="e">
        <f>VLOOKUP(G176,consolidado!$A$2:$B$656,2,FALSE)</f>
        <v>#N/A</v>
      </c>
    </row>
    <row r="177" spans="2:8" ht="17.399999999999999" hidden="1" customHeight="1">
      <c r="B177" s="4">
        <v>175</v>
      </c>
      <c r="C177" s="3" t="s">
        <v>403</v>
      </c>
      <c r="D177" s="3" t="s">
        <v>404</v>
      </c>
      <c r="E177" s="3" t="s">
        <v>90</v>
      </c>
      <c r="F177" s="3">
        <v>902073805</v>
      </c>
      <c r="G177" s="3">
        <v>21866433</v>
      </c>
      <c r="H177" t="e">
        <f>VLOOKUP(G177,consolidado!$A$2:$B$656,2,FALSE)</f>
        <v>#N/A</v>
      </c>
    </row>
    <row r="178" spans="2:8" ht="17.399999999999999" hidden="1" customHeight="1">
      <c r="B178" s="4">
        <v>176</v>
      </c>
      <c r="C178" s="3" t="s">
        <v>405</v>
      </c>
      <c r="D178" s="3" t="s">
        <v>406</v>
      </c>
      <c r="E178" s="3" t="s">
        <v>90</v>
      </c>
      <c r="F178" s="3">
        <v>933465673</v>
      </c>
      <c r="G178" s="3">
        <v>75832418</v>
      </c>
      <c r="H178" t="e">
        <f>VLOOKUP(G178,consolidado!$A$2:$B$656,2,FALSE)</f>
        <v>#N/A</v>
      </c>
    </row>
    <row r="179" spans="2:8" ht="17.399999999999999" hidden="1" customHeight="1">
      <c r="B179" s="4">
        <v>177</v>
      </c>
      <c r="C179" s="3" t="s">
        <v>407</v>
      </c>
      <c r="D179" s="3" t="s">
        <v>408</v>
      </c>
      <c r="E179" s="3" t="s">
        <v>99</v>
      </c>
      <c r="F179" s="3">
        <v>924428077</v>
      </c>
      <c r="G179" s="3">
        <v>40117370</v>
      </c>
      <c r="H179" t="e">
        <f>VLOOKUP(G179,consolidado!$A$2:$B$656,2,FALSE)</f>
        <v>#N/A</v>
      </c>
    </row>
    <row r="180" spans="2:8" ht="17.399999999999999" hidden="1" customHeight="1">
      <c r="B180" s="4">
        <v>178</v>
      </c>
      <c r="C180" s="3" t="s">
        <v>409</v>
      </c>
      <c r="D180" s="3" t="s">
        <v>410</v>
      </c>
      <c r="E180" s="3" t="s">
        <v>135</v>
      </c>
      <c r="F180" s="3">
        <v>976790809</v>
      </c>
      <c r="G180" s="3">
        <v>41096335</v>
      </c>
      <c r="H180" t="e">
        <f>VLOOKUP(G180,consolidado!$A$2:$B$656,2,FALSE)</f>
        <v>#N/A</v>
      </c>
    </row>
    <row r="181" spans="2:8" ht="17.399999999999999" hidden="1" customHeight="1">
      <c r="B181" s="4">
        <v>179</v>
      </c>
      <c r="C181" s="3" t="s">
        <v>411</v>
      </c>
      <c r="D181" s="3" t="s">
        <v>412</v>
      </c>
      <c r="E181" s="3" t="s">
        <v>99</v>
      </c>
      <c r="F181" s="3">
        <v>902102201</v>
      </c>
      <c r="G181" s="3" t="s">
        <v>413</v>
      </c>
      <c r="H181" t="e">
        <f>VLOOKUP(G181,consolidado!$A$2:$B$656,2,FALSE)</f>
        <v>#N/A</v>
      </c>
    </row>
    <row r="182" spans="2:8" ht="17.399999999999999" hidden="1" customHeight="1">
      <c r="B182" s="4">
        <v>180</v>
      </c>
      <c r="C182" s="3" t="s">
        <v>414</v>
      </c>
      <c r="D182" s="3" t="s">
        <v>415</v>
      </c>
      <c r="E182" s="3" t="s">
        <v>334</v>
      </c>
      <c r="F182" s="3">
        <v>933716900</v>
      </c>
      <c r="G182" s="3">
        <v>40798009</v>
      </c>
      <c r="H182" t="e">
        <f>VLOOKUP(G182,consolidado!$A$2:$B$656,2,FALSE)</f>
        <v>#N/A</v>
      </c>
    </row>
    <row r="183" spans="2:8" ht="17.399999999999999" hidden="1" customHeight="1">
      <c r="B183" s="4">
        <v>181</v>
      </c>
      <c r="C183" s="3" t="s">
        <v>416</v>
      </c>
      <c r="D183" s="3" t="s">
        <v>417</v>
      </c>
      <c r="E183" s="3" t="s">
        <v>317</v>
      </c>
      <c r="F183" s="3" t="s">
        <v>418</v>
      </c>
      <c r="G183" s="3">
        <v>42064586</v>
      </c>
      <c r="H183" t="e">
        <f>VLOOKUP(G183,consolidado!$A$2:$B$656,2,FALSE)</f>
        <v>#N/A</v>
      </c>
    </row>
    <row r="184" spans="2:8" ht="17.399999999999999" hidden="1" customHeight="1">
      <c r="B184" s="4">
        <v>182</v>
      </c>
      <c r="C184" s="3" t="s">
        <v>419</v>
      </c>
      <c r="D184" s="3" t="s">
        <v>420</v>
      </c>
      <c r="E184" s="3" t="s">
        <v>19</v>
      </c>
      <c r="F184" s="3">
        <v>917638838</v>
      </c>
      <c r="G184" s="3" t="s">
        <v>421</v>
      </c>
      <c r="H184" t="e">
        <f>VLOOKUP(G184,consolidado!$A$2:$B$656,2,FALSE)</f>
        <v>#N/A</v>
      </c>
    </row>
    <row r="185" spans="2:8" ht="17.399999999999999" hidden="1" customHeight="1">
      <c r="B185" s="4">
        <v>183</v>
      </c>
      <c r="C185" s="3" t="s">
        <v>422</v>
      </c>
      <c r="D185" s="3" t="s">
        <v>423</v>
      </c>
      <c r="E185" s="3" t="s">
        <v>99</v>
      </c>
      <c r="F185" s="3">
        <v>955295107</v>
      </c>
      <c r="G185" s="3">
        <v>48947197</v>
      </c>
      <c r="H185" t="e">
        <f>VLOOKUP(G185,consolidado!$A$2:$B$656,2,FALSE)</f>
        <v>#N/A</v>
      </c>
    </row>
    <row r="186" spans="2:8" ht="17.399999999999999" hidden="1" customHeight="1">
      <c r="B186" s="4">
        <v>184</v>
      </c>
      <c r="C186" s="3" t="s">
        <v>424</v>
      </c>
      <c r="D186" s="3" t="s">
        <v>425</v>
      </c>
      <c r="E186" s="3" t="s">
        <v>99</v>
      </c>
      <c r="F186" s="3">
        <v>912209926</v>
      </c>
      <c r="G186" s="3">
        <v>70051411</v>
      </c>
      <c r="H186" t="e">
        <f>VLOOKUP(G186,consolidado!$A$2:$B$656,2,FALSE)</f>
        <v>#N/A</v>
      </c>
    </row>
    <row r="187" spans="2:8" ht="17.399999999999999" hidden="1" customHeight="1">
      <c r="B187" s="4">
        <v>185</v>
      </c>
      <c r="C187" s="3" t="s">
        <v>426</v>
      </c>
      <c r="D187" s="3" t="s">
        <v>427</v>
      </c>
      <c r="E187" s="3" t="s">
        <v>99</v>
      </c>
      <c r="F187" s="3">
        <v>917695094</v>
      </c>
      <c r="G187" s="3">
        <v>42360247</v>
      </c>
      <c r="H187" t="e">
        <f>VLOOKUP(G187,consolidado!$A$2:$B$656,2,FALSE)</f>
        <v>#N/A</v>
      </c>
    </row>
    <row r="188" spans="2:8" ht="17.399999999999999" customHeight="1">
      <c r="B188" s="4">
        <v>186</v>
      </c>
      <c r="C188" s="3" t="s">
        <v>428</v>
      </c>
      <c r="D188" s="3" t="s">
        <v>429</v>
      </c>
      <c r="E188" s="3" t="s">
        <v>99</v>
      </c>
      <c r="F188" s="3" t="s">
        <v>430</v>
      </c>
      <c r="G188" s="3">
        <v>76000980</v>
      </c>
      <c r="H188" t="e">
        <f>VLOOKUP(G188,consolidado!$A$2:$B$656,2,FALSE)</f>
        <v>#N/A</v>
      </c>
    </row>
    <row r="189" spans="2:8" ht="17.399999999999999" hidden="1" customHeight="1">
      <c r="B189" s="4">
        <v>187</v>
      </c>
      <c r="C189" s="3" t="s">
        <v>431</v>
      </c>
      <c r="D189" s="3" t="s">
        <v>432</v>
      </c>
      <c r="E189" s="3" t="s">
        <v>19</v>
      </c>
      <c r="F189" s="3" t="s">
        <v>433</v>
      </c>
      <c r="G189" s="3">
        <v>45361929</v>
      </c>
      <c r="H189" t="e">
        <f>VLOOKUP(G189,consolidado!$A$2:$B$656,2,FALSE)</f>
        <v>#N/A</v>
      </c>
    </row>
    <row r="190" spans="2:8" ht="17.399999999999999" customHeight="1">
      <c r="B190" s="4">
        <v>188</v>
      </c>
      <c r="C190" s="3" t="s">
        <v>434</v>
      </c>
      <c r="D190" s="3" t="s">
        <v>435</v>
      </c>
      <c r="E190" s="3" t="s">
        <v>99</v>
      </c>
      <c r="F190" s="3">
        <v>971344982</v>
      </c>
      <c r="G190" s="3">
        <v>48224177</v>
      </c>
      <c r="H190" t="e">
        <f>VLOOKUP(G190,consolidado!$A$2:$B$656,2,FALSE)</f>
        <v>#N/A</v>
      </c>
    </row>
    <row r="191" spans="2:8" ht="17.399999999999999" hidden="1" customHeight="1">
      <c r="B191" s="4">
        <v>189</v>
      </c>
      <c r="C191" s="3" t="s">
        <v>436</v>
      </c>
      <c r="D191" s="3" t="s">
        <v>437</v>
      </c>
      <c r="E191" s="3" t="s">
        <v>90</v>
      </c>
      <c r="F191" s="3">
        <v>956790341</v>
      </c>
      <c r="G191" s="3">
        <v>40554177</v>
      </c>
      <c r="H191" t="e">
        <f>VLOOKUP(G191,consolidado!$A$2:$B$656,2,FALSE)</f>
        <v>#N/A</v>
      </c>
    </row>
    <row r="192" spans="2:8" ht="17.399999999999999" hidden="1" customHeight="1">
      <c r="B192" s="4">
        <v>190</v>
      </c>
      <c r="C192" s="3" t="s">
        <v>438</v>
      </c>
      <c r="D192" s="3" t="s">
        <v>439</v>
      </c>
      <c r="E192" s="3" t="s">
        <v>90</v>
      </c>
      <c r="F192" s="3">
        <v>934666371</v>
      </c>
      <c r="G192" s="3">
        <v>40055313</v>
      </c>
      <c r="H192" t="e">
        <f>VLOOKUP(G192,consolidado!$A$2:$B$656,2,FALSE)</f>
        <v>#N/A</v>
      </c>
    </row>
    <row r="193" spans="2:8" ht="17.399999999999999" hidden="1" customHeight="1">
      <c r="B193" s="4">
        <v>191</v>
      </c>
      <c r="C193" s="3" t="s">
        <v>440</v>
      </c>
      <c r="D193" s="3" t="s">
        <v>150</v>
      </c>
      <c r="E193" s="3" t="s">
        <v>135</v>
      </c>
      <c r="F193" s="3">
        <v>996285735</v>
      </c>
      <c r="G193" s="3">
        <v>47519367</v>
      </c>
      <c r="H193" t="e">
        <f>VLOOKUP(G193,consolidado!$A$2:$B$656,2,FALSE)</f>
        <v>#N/A</v>
      </c>
    </row>
    <row r="194" spans="2:8" ht="17.399999999999999" hidden="1" customHeight="1">
      <c r="B194" s="4">
        <v>192</v>
      </c>
      <c r="C194" s="3" t="s">
        <v>441</v>
      </c>
      <c r="D194" s="3" t="s">
        <v>442</v>
      </c>
      <c r="E194" s="3" t="s">
        <v>36</v>
      </c>
      <c r="F194" s="3">
        <v>959920227</v>
      </c>
      <c r="G194" s="3">
        <v>41785064</v>
      </c>
      <c r="H194" t="e">
        <f>VLOOKUP(G194,consolidado!$A$2:$B$656,2,FALSE)</f>
        <v>#N/A</v>
      </c>
    </row>
    <row r="195" spans="2:8" ht="17.399999999999999" hidden="1" customHeight="1">
      <c r="B195" s="4">
        <v>193</v>
      </c>
      <c r="C195" s="3" t="s">
        <v>443</v>
      </c>
      <c r="D195" s="3" t="s">
        <v>444</v>
      </c>
      <c r="E195" s="3" t="s">
        <v>5</v>
      </c>
      <c r="F195" s="3" t="s">
        <v>445</v>
      </c>
      <c r="G195" s="3">
        <v>42277973</v>
      </c>
      <c r="H195" t="e">
        <f>VLOOKUP(G195,consolidado!$A$2:$B$656,2,FALSE)</f>
        <v>#N/A</v>
      </c>
    </row>
    <row r="196" spans="2:8" ht="17.399999999999999" hidden="1" customHeight="1">
      <c r="B196" s="4">
        <v>194</v>
      </c>
      <c r="C196" s="3" t="s">
        <v>446</v>
      </c>
      <c r="D196" s="3" t="s">
        <v>447</v>
      </c>
      <c r="E196" s="3" t="s">
        <v>90</v>
      </c>
      <c r="F196" s="3">
        <v>961760053</v>
      </c>
      <c r="G196" s="3">
        <v>44338677</v>
      </c>
      <c r="H196" t="e">
        <f>VLOOKUP(G196,consolidado!$A$2:$B$656,2,FALSE)</f>
        <v>#N/A</v>
      </c>
    </row>
    <row r="197" spans="2:8" ht="17.399999999999999" hidden="1" customHeight="1">
      <c r="B197" s="4">
        <v>195</v>
      </c>
      <c r="C197" s="3" t="s">
        <v>448</v>
      </c>
      <c r="D197" s="3" t="s">
        <v>449</v>
      </c>
      <c r="E197" s="3" t="s">
        <v>99</v>
      </c>
      <c r="F197" s="3">
        <v>969892760</v>
      </c>
      <c r="G197" s="3">
        <v>21862344</v>
      </c>
      <c r="H197" t="e">
        <f>VLOOKUP(G197,consolidado!$A$2:$B$656,2,FALSE)</f>
        <v>#N/A</v>
      </c>
    </row>
    <row r="198" spans="2:8" ht="17.399999999999999" hidden="1" customHeight="1">
      <c r="B198" s="4">
        <v>196</v>
      </c>
      <c r="C198" s="3" t="s">
        <v>450</v>
      </c>
      <c r="D198" s="3" t="s">
        <v>451</v>
      </c>
      <c r="E198" s="3" t="s">
        <v>90</v>
      </c>
      <c r="F198" s="3">
        <v>961760053</v>
      </c>
      <c r="G198" s="3">
        <v>21859950</v>
      </c>
      <c r="H198" t="e">
        <f>VLOOKUP(G198,consolidado!$A$2:$B$656,2,FALSE)</f>
        <v>#N/A</v>
      </c>
    </row>
    <row r="199" spans="2:8" ht="17.399999999999999" hidden="1" customHeight="1">
      <c r="B199" s="4">
        <v>197</v>
      </c>
      <c r="C199" s="3" t="s">
        <v>452</v>
      </c>
      <c r="D199" s="3" t="s">
        <v>453</v>
      </c>
      <c r="E199" s="3" t="s">
        <v>334</v>
      </c>
      <c r="F199" s="3" t="s">
        <v>454</v>
      </c>
      <c r="G199" s="3">
        <v>45879381</v>
      </c>
      <c r="H199" t="e">
        <f>VLOOKUP(G199,consolidado!$A$2:$B$656,2,FALSE)</f>
        <v>#N/A</v>
      </c>
    </row>
    <row r="200" spans="2:8" ht="17.399999999999999" hidden="1" customHeight="1">
      <c r="B200" s="4">
        <v>198</v>
      </c>
      <c r="C200" s="3" t="s">
        <v>455</v>
      </c>
      <c r="D200" s="3" t="s">
        <v>456</v>
      </c>
      <c r="E200" s="3" t="s">
        <v>106</v>
      </c>
      <c r="F200" s="3">
        <v>938865246</v>
      </c>
      <c r="G200" s="3">
        <v>21881530</v>
      </c>
      <c r="H200" t="e">
        <f>VLOOKUP(G200,consolidado!$A$2:$B$656,2,FALSE)</f>
        <v>#N/A</v>
      </c>
    </row>
    <row r="201" spans="2:8" ht="17.399999999999999" hidden="1" customHeight="1">
      <c r="B201" s="4">
        <v>199</v>
      </c>
      <c r="C201" s="3" t="s">
        <v>457</v>
      </c>
      <c r="D201" s="3" t="s">
        <v>458</v>
      </c>
      <c r="E201" s="3" t="s">
        <v>106</v>
      </c>
      <c r="F201" s="3">
        <v>959932272</v>
      </c>
      <c r="G201" s="3">
        <v>48014534</v>
      </c>
      <c r="H201" t="e">
        <f>VLOOKUP(G201,consolidado!$A$2:$B$656,2,FALSE)</f>
        <v>#N/A</v>
      </c>
    </row>
    <row r="202" spans="2:8" ht="17.399999999999999" hidden="1" customHeight="1">
      <c r="B202" s="4">
        <v>200</v>
      </c>
      <c r="C202" s="3" t="s">
        <v>459</v>
      </c>
      <c r="D202" s="3" t="s">
        <v>460</v>
      </c>
      <c r="E202" s="3" t="s">
        <v>135</v>
      </c>
      <c r="F202" s="3">
        <v>956946577</v>
      </c>
      <c r="G202" s="3">
        <v>21846225</v>
      </c>
      <c r="H202" t="e">
        <f>VLOOKUP(G202,consolidado!$A$2:$B$656,2,FALSE)</f>
        <v>#N/A</v>
      </c>
    </row>
    <row r="203" spans="2:8" ht="17.399999999999999" hidden="1" customHeight="1">
      <c r="B203" s="4">
        <v>201</v>
      </c>
      <c r="C203" s="3" t="s">
        <v>461</v>
      </c>
      <c r="D203" s="3" t="s">
        <v>462</v>
      </c>
      <c r="E203" s="3" t="s">
        <v>99</v>
      </c>
      <c r="F203" s="3">
        <v>935267119</v>
      </c>
      <c r="G203" s="3">
        <v>60610091</v>
      </c>
      <c r="H203" t="e">
        <f>VLOOKUP(G203,consolidado!$A$2:$B$656,2,FALSE)</f>
        <v>#N/A</v>
      </c>
    </row>
    <row r="204" spans="2:8" ht="17.399999999999999" hidden="1" customHeight="1">
      <c r="B204" s="4">
        <v>202</v>
      </c>
      <c r="C204" s="3" t="s">
        <v>463</v>
      </c>
      <c r="D204" s="3" t="s">
        <v>464</v>
      </c>
      <c r="E204" s="3" t="s">
        <v>2</v>
      </c>
      <c r="F204" s="3">
        <v>918890415</v>
      </c>
      <c r="G204" s="3">
        <v>73753896</v>
      </c>
      <c r="H204" t="e">
        <f>VLOOKUP(G204,consolidado!$A$2:$B$656,2,FALSE)</f>
        <v>#N/A</v>
      </c>
    </row>
    <row r="205" spans="2:8" ht="17.399999999999999" hidden="1" customHeight="1">
      <c r="B205" s="4">
        <v>203</v>
      </c>
      <c r="C205" s="3" t="s">
        <v>465</v>
      </c>
      <c r="D205" s="3" t="s">
        <v>466</v>
      </c>
      <c r="E205" s="3" t="s">
        <v>2</v>
      </c>
      <c r="F205" s="3">
        <v>956319825</v>
      </c>
      <c r="G205" s="3">
        <v>21861508</v>
      </c>
      <c r="H205" t="e">
        <f>VLOOKUP(G205,consolidado!$A$2:$B$656,2,FALSE)</f>
        <v>#N/A</v>
      </c>
    </row>
    <row r="206" spans="2:8" ht="17.399999999999999" hidden="1" customHeight="1">
      <c r="B206" s="4">
        <v>204</v>
      </c>
      <c r="C206" s="3" t="s">
        <v>467</v>
      </c>
      <c r="D206" s="3" t="s">
        <v>468</v>
      </c>
      <c r="E206" s="3" t="s">
        <v>135</v>
      </c>
      <c r="F206" s="3">
        <v>979309471</v>
      </c>
      <c r="G206" s="3">
        <v>42102284</v>
      </c>
      <c r="H206" t="e">
        <f>VLOOKUP(G206,consolidado!$A$2:$B$656,2,FALSE)</f>
        <v>#N/A</v>
      </c>
    </row>
    <row r="207" spans="2:8" ht="17.399999999999999" hidden="1" customHeight="1">
      <c r="B207" s="4">
        <v>205</v>
      </c>
      <c r="C207" s="3" t="s">
        <v>469</v>
      </c>
      <c r="D207" s="3" t="s">
        <v>470</v>
      </c>
      <c r="E207" s="3" t="s">
        <v>126</v>
      </c>
      <c r="F207" s="3">
        <v>953433332</v>
      </c>
      <c r="G207" s="3">
        <v>21887823</v>
      </c>
      <c r="H207" t="e">
        <f>VLOOKUP(G207,consolidado!$A$2:$B$656,2,FALSE)</f>
        <v>#N/A</v>
      </c>
    </row>
    <row r="208" spans="2:8" ht="17.399999999999999" hidden="1" customHeight="1">
      <c r="B208" s="4">
        <v>206</v>
      </c>
      <c r="C208" s="3" t="s">
        <v>471</v>
      </c>
      <c r="D208" s="3" t="s">
        <v>472</v>
      </c>
      <c r="E208" s="3" t="s">
        <v>19</v>
      </c>
      <c r="F208" s="3">
        <v>955063711</v>
      </c>
      <c r="G208" s="3">
        <v>21887537</v>
      </c>
      <c r="H208" t="e">
        <f>VLOOKUP(G208,consolidado!$A$2:$B$656,2,FALSE)</f>
        <v>#N/A</v>
      </c>
    </row>
    <row r="209" spans="2:8" ht="17.399999999999999" hidden="1" customHeight="1">
      <c r="B209" s="4">
        <v>207</v>
      </c>
      <c r="C209" s="3" t="s">
        <v>473</v>
      </c>
      <c r="D209" s="3" t="s">
        <v>474</v>
      </c>
      <c r="E209" s="3" t="s">
        <v>90</v>
      </c>
      <c r="F209" s="3">
        <v>952695823</v>
      </c>
      <c r="G209" s="3">
        <v>21883620</v>
      </c>
      <c r="H209" t="e">
        <f>VLOOKUP(G209,consolidado!$A$2:$B$656,2,FALSE)</f>
        <v>#N/A</v>
      </c>
    </row>
    <row r="210" spans="2:8" ht="17.399999999999999" hidden="1" customHeight="1">
      <c r="B210" s="4">
        <v>208</v>
      </c>
      <c r="C210" s="3" t="s">
        <v>475</v>
      </c>
      <c r="D210" s="3" t="s">
        <v>476</v>
      </c>
      <c r="E210" s="3" t="s">
        <v>90</v>
      </c>
      <c r="F210" s="3">
        <v>977892159</v>
      </c>
      <c r="G210" s="3">
        <v>72628484</v>
      </c>
      <c r="H210" t="e">
        <f>VLOOKUP(G210,consolidado!$A$2:$B$656,2,FALSE)</f>
        <v>#N/A</v>
      </c>
    </row>
    <row r="211" spans="2:8" ht="17.399999999999999" customHeight="1">
      <c r="B211" s="4">
        <v>209</v>
      </c>
      <c r="C211" s="3" t="s">
        <v>477</v>
      </c>
      <c r="D211" s="3" t="s">
        <v>478</v>
      </c>
      <c r="E211" s="3" t="s">
        <v>22</v>
      </c>
      <c r="F211" s="3">
        <v>902874390</v>
      </c>
      <c r="G211" s="3">
        <v>74526307</v>
      </c>
      <c r="H211" t="e">
        <f>VLOOKUP(G211,consolidado!$A$2:$B$656,2,FALSE)</f>
        <v>#N/A</v>
      </c>
    </row>
    <row r="212" spans="2:8" ht="17.399999999999999" hidden="1" customHeight="1">
      <c r="B212" s="4">
        <v>210</v>
      </c>
      <c r="C212" s="3" t="s">
        <v>479</v>
      </c>
      <c r="D212" s="3" t="s">
        <v>480</v>
      </c>
      <c r="E212" s="3" t="s">
        <v>317</v>
      </c>
      <c r="F212" s="3">
        <v>954642849</v>
      </c>
      <c r="G212" s="3">
        <v>70365628</v>
      </c>
      <c r="H212" t="e">
        <f>VLOOKUP(G212,consolidado!$A$2:$B$656,2,FALSE)</f>
        <v>#N/A</v>
      </c>
    </row>
    <row r="213" spans="2:8" ht="17.399999999999999" hidden="1" customHeight="1">
      <c r="B213" s="4">
        <v>211</v>
      </c>
      <c r="C213" s="3" t="s">
        <v>481</v>
      </c>
      <c r="D213" s="3" t="s">
        <v>482</v>
      </c>
      <c r="E213" s="3" t="s">
        <v>135</v>
      </c>
      <c r="F213" s="3">
        <v>902051563</v>
      </c>
      <c r="G213" s="3">
        <v>41869258</v>
      </c>
      <c r="H213" t="e">
        <f>VLOOKUP(G213,consolidado!$A$2:$B$656,2,FALSE)</f>
        <v>#N/A</v>
      </c>
    </row>
    <row r="214" spans="2:8" ht="17.399999999999999" hidden="1" customHeight="1">
      <c r="B214" s="4">
        <v>212</v>
      </c>
      <c r="C214" s="3" t="s">
        <v>483</v>
      </c>
      <c r="D214" s="3" t="s">
        <v>484</v>
      </c>
      <c r="E214" s="3" t="s">
        <v>19</v>
      </c>
      <c r="F214" s="3">
        <v>955017366</v>
      </c>
      <c r="G214" s="3">
        <v>21846116</v>
      </c>
      <c r="H214" t="e">
        <f>VLOOKUP(G214,consolidado!$A$2:$B$656,2,FALSE)</f>
        <v>#N/A</v>
      </c>
    </row>
    <row r="215" spans="2:8" ht="17.399999999999999" hidden="1" customHeight="1">
      <c r="B215" s="4">
        <v>213</v>
      </c>
      <c r="C215" s="3" t="s">
        <v>485</v>
      </c>
      <c r="D215" s="3" t="s">
        <v>486</v>
      </c>
      <c r="E215" s="3" t="s">
        <v>90</v>
      </c>
      <c r="F215" s="3" t="s">
        <v>487</v>
      </c>
      <c r="G215" s="3">
        <v>21577420</v>
      </c>
      <c r="H215" t="e">
        <f>VLOOKUP(G215,consolidado!$A$2:$B$656,2,FALSE)</f>
        <v>#N/A</v>
      </c>
    </row>
    <row r="216" spans="2:8" ht="17.399999999999999" hidden="1" customHeight="1">
      <c r="B216" s="4">
        <v>214</v>
      </c>
      <c r="C216" s="3" t="s">
        <v>488</v>
      </c>
      <c r="D216" s="3" t="s">
        <v>489</v>
      </c>
      <c r="E216" s="3" t="s">
        <v>126</v>
      </c>
      <c r="F216" s="3">
        <v>947398631</v>
      </c>
      <c r="G216" s="3">
        <v>47123327</v>
      </c>
      <c r="H216" t="e">
        <f>VLOOKUP(G216,consolidado!$A$2:$B$656,2,FALSE)</f>
        <v>#N/A</v>
      </c>
    </row>
    <row r="217" spans="2:8" ht="17.399999999999999" hidden="1" customHeight="1">
      <c r="B217" s="4">
        <v>215</v>
      </c>
      <c r="C217" s="3" t="s">
        <v>490</v>
      </c>
      <c r="D217" s="3" t="s">
        <v>491</v>
      </c>
      <c r="E217" s="3" t="s">
        <v>106</v>
      </c>
      <c r="F217" s="3">
        <v>906520807</v>
      </c>
      <c r="G217" s="3">
        <v>41130761</v>
      </c>
      <c r="H217" t="e">
        <f>VLOOKUP(G217,consolidado!$A$2:$B$656,2,FALSE)</f>
        <v>#N/A</v>
      </c>
    </row>
    <row r="218" spans="2:8" ht="17.399999999999999" hidden="1" customHeight="1">
      <c r="B218" s="4">
        <v>216</v>
      </c>
      <c r="C218" s="3" t="s">
        <v>492</v>
      </c>
      <c r="D218" s="3" t="s">
        <v>493</v>
      </c>
      <c r="E218" s="3" t="s">
        <v>22</v>
      </c>
      <c r="F218" s="3">
        <v>923455593</v>
      </c>
      <c r="G218" s="3">
        <v>48615183</v>
      </c>
      <c r="H218" t="e">
        <f>VLOOKUP(G218,consolidado!$A$2:$B$656,2,FALSE)</f>
        <v>#N/A</v>
      </c>
    </row>
    <row r="219" spans="2:8" ht="17.399999999999999" hidden="1" customHeight="1">
      <c r="B219" s="4">
        <v>217</v>
      </c>
      <c r="C219" s="3" t="s">
        <v>494</v>
      </c>
      <c r="D219" s="3" t="s">
        <v>495</v>
      </c>
      <c r="E219" s="3" t="s">
        <v>90</v>
      </c>
      <c r="F219" s="3">
        <v>982321816</v>
      </c>
      <c r="G219" s="3">
        <v>47711960</v>
      </c>
      <c r="H219" t="e">
        <f>VLOOKUP(G219,consolidado!$A$2:$B$656,2,FALSE)</f>
        <v>#N/A</v>
      </c>
    </row>
    <row r="220" spans="2:8" ht="17.399999999999999" hidden="1" customHeight="1">
      <c r="B220" s="4">
        <v>218</v>
      </c>
      <c r="C220" s="3" t="s">
        <v>496</v>
      </c>
      <c r="D220" s="3" t="s">
        <v>497</v>
      </c>
      <c r="E220" s="3" t="s">
        <v>36</v>
      </c>
      <c r="F220" s="3">
        <v>981557714</v>
      </c>
      <c r="G220" s="3">
        <v>46657184</v>
      </c>
      <c r="H220" t="e">
        <f>VLOOKUP(G220,consolidado!$A$2:$B$656,2,FALSE)</f>
        <v>#N/A</v>
      </c>
    </row>
    <row r="221" spans="2:8" ht="17.399999999999999" hidden="1" customHeight="1">
      <c r="B221" s="4">
        <v>219</v>
      </c>
      <c r="C221" s="3" t="s">
        <v>498</v>
      </c>
      <c r="D221" s="3" t="s">
        <v>499</v>
      </c>
      <c r="E221" s="3" t="s">
        <v>22</v>
      </c>
      <c r="F221" s="3">
        <v>943594389</v>
      </c>
      <c r="G221" s="3">
        <v>42027104</v>
      </c>
      <c r="H221" t="e">
        <f>VLOOKUP(G221,consolidado!$A$2:$B$656,2,FALSE)</f>
        <v>#N/A</v>
      </c>
    </row>
    <row r="222" spans="2:8" ht="17.399999999999999" hidden="1" customHeight="1">
      <c r="B222" s="4">
        <v>220</v>
      </c>
      <c r="C222" s="3" t="s">
        <v>500</v>
      </c>
      <c r="D222" s="3" t="s">
        <v>501</v>
      </c>
      <c r="E222" s="3" t="s">
        <v>8</v>
      </c>
      <c r="F222" s="3">
        <v>977349625</v>
      </c>
      <c r="G222" s="3">
        <v>21877465</v>
      </c>
      <c r="H222" t="e">
        <f>VLOOKUP(G222,consolidado!$A$2:$B$656,2,FALSE)</f>
        <v>#N/A</v>
      </c>
    </row>
    <row r="223" spans="2:8" ht="17.399999999999999" hidden="1" customHeight="1">
      <c r="B223" s="4">
        <v>221</v>
      </c>
      <c r="C223" s="3" t="s">
        <v>502</v>
      </c>
      <c r="D223" s="3" t="s">
        <v>503</v>
      </c>
      <c r="E223" s="3" t="s">
        <v>22</v>
      </c>
      <c r="F223" s="3" t="s">
        <v>504</v>
      </c>
      <c r="G223" s="3">
        <v>74069744</v>
      </c>
      <c r="H223" t="e">
        <f>VLOOKUP(G223,consolidado!$A$2:$B$656,2,FALSE)</f>
        <v>#N/A</v>
      </c>
    </row>
    <row r="224" spans="2:8" ht="17.399999999999999" hidden="1" customHeight="1">
      <c r="B224" s="4">
        <v>222</v>
      </c>
      <c r="C224" s="3" t="s">
        <v>505</v>
      </c>
      <c r="D224" s="3" t="s">
        <v>506</v>
      </c>
      <c r="E224" s="3" t="s">
        <v>36</v>
      </c>
      <c r="F224" s="3">
        <v>993059870</v>
      </c>
      <c r="G224" s="3">
        <v>41398673</v>
      </c>
      <c r="H224" t="e">
        <f>VLOOKUP(G224,consolidado!$A$2:$B$656,2,FALSE)</f>
        <v>#N/A</v>
      </c>
    </row>
    <row r="225" spans="2:8" ht="17.399999999999999" hidden="1" customHeight="1">
      <c r="B225" s="4">
        <v>223</v>
      </c>
      <c r="C225" s="3" t="s">
        <v>507</v>
      </c>
      <c r="D225" s="3" t="s">
        <v>508</v>
      </c>
      <c r="E225" s="3" t="s">
        <v>36</v>
      </c>
      <c r="F225" s="3">
        <v>919577337</v>
      </c>
      <c r="G225" s="3">
        <v>41394395</v>
      </c>
      <c r="H225" t="e">
        <f>VLOOKUP(G225,consolidado!$A$2:$B$656,2,FALSE)</f>
        <v>#N/A</v>
      </c>
    </row>
    <row r="226" spans="2:8" ht="17.399999999999999" hidden="1" customHeight="1">
      <c r="B226" s="4">
        <v>224</v>
      </c>
      <c r="C226" s="3" t="s">
        <v>509</v>
      </c>
      <c r="D226" s="3" t="s">
        <v>510</v>
      </c>
      <c r="E226" s="3" t="s">
        <v>36</v>
      </c>
      <c r="F226" s="3">
        <v>924052883</v>
      </c>
      <c r="G226" s="3">
        <v>41256049</v>
      </c>
      <c r="H226" t="e">
        <f>VLOOKUP(G226,consolidado!$A$2:$B$656,2,FALSE)</f>
        <v>#N/A</v>
      </c>
    </row>
    <row r="227" spans="2:8" ht="17.399999999999999" hidden="1" customHeight="1">
      <c r="B227" s="4">
        <v>225</v>
      </c>
      <c r="C227" s="3" t="s">
        <v>511</v>
      </c>
      <c r="D227" s="3" t="s">
        <v>512</v>
      </c>
      <c r="E227" s="3" t="s">
        <v>8</v>
      </c>
      <c r="F227" s="3" t="s">
        <v>513</v>
      </c>
      <c r="G227" s="3">
        <v>41159105</v>
      </c>
      <c r="H227" t="e">
        <f>VLOOKUP(G227,consolidado!$A$2:$B$656,2,FALSE)</f>
        <v>#N/A</v>
      </c>
    </row>
    <row r="228" spans="2:8" ht="17.399999999999999" hidden="1" customHeight="1">
      <c r="B228" s="4">
        <v>226</v>
      </c>
      <c r="C228" s="3" t="s">
        <v>514</v>
      </c>
      <c r="D228" s="3" t="s">
        <v>515</v>
      </c>
      <c r="E228" s="3" t="s">
        <v>36</v>
      </c>
      <c r="F228" s="3">
        <v>944209364</v>
      </c>
      <c r="G228" s="3">
        <v>73195681</v>
      </c>
      <c r="H228" t="e">
        <f>VLOOKUP(G228,consolidado!$A$2:$B$656,2,FALSE)</f>
        <v>#N/A</v>
      </c>
    </row>
    <row r="229" spans="2:8" ht="17.399999999999999" hidden="1" customHeight="1">
      <c r="B229" s="4">
        <v>227</v>
      </c>
      <c r="C229" s="3" t="s">
        <v>516</v>
      </c>
      <c r="D229" s="3" t="s">
        <v>517</v>
      </c>
      <c r="E229" s="3" t="s">
        <v>90</v>
      </c>
      <c r="F229" s="3" t="s">
        <v>518</v>
      </c>
      <c r="G229" s="3">
        <v>21817739</v>
      </c>
      <c r="H229" t="e">
        <f>VLOOKUP(G229,consolidado!$A$2:$B$656,2,FALSE)</f>
        <v>#N/A</v>
      </c>
    </row>
    <row r="230" spans="2:8" ht="17.399999999999999" hidden="1" customHeight="1">
      <c r="B230" s="4">
        <v>228</v>
      </c>
      <c r="C230" s="3" t="s">
        <v>519</v>
      </c>
      <c r="D230" s="3" t="s">
        <v>520</v>
      </c>
      <c r="E230" s="3" t="s">
        <v>135</v>
      </c>
      <c r="F230" s="3">
        <v>970555978</v>
      </c>
      <c r="G230" s="3">
        <v>71592530</v>
      </c>
      <c r="H230" t="e">
        <f>VLOOKUP(G230,consolidado!$A$2:$B$656,2,FALSE)</f>
        <v>#N/A</v>
      </c>
    </row>
    <row r="231" spans="2:8" ht="17.399999999999999" customHeight="1">
      <c r="B231" s="4">
        <v>229</v>
      </c>
      <c r="C231" s="3" t="s">
        <v>521</v>
      </c>
      <c r="D231" s="3" t="s">
        <v>522</v>
      </c>
      <c r="E231" s="3" t="s">
        <v>317</v>
      </c>
      <c r="F231" s="3">
        <v>933844772</v>
      </c>
      <c r="G231" s="3">
        <v>45783027</v>
      </c>
      <c r="H231" t="e">
        <f>VLOOKUP(G231,consolidado!$A$2:$B$656,2,FALSE)</f>
        <v>#N/A</v>
      </c>
    </row>
    <row r="232" spans="2:8" ht="17.399999999999999" hidden="1" customHeight="1">
      <c r="B232" s="4">
        <v>230</v>
      </c>
      <c r="C232" s="3" t="s">
        <v>523</v>
      </c>
      <c r="D232" s="3" t="s">
        <v>524</v>
      </c>
      <c r="E232" s="3" t="s">
        <v>11</v>
      </c>
      <c r="F232" s="3">
        <v>907365864</v>
      </c>
      <c r="G232" s="3">
        <v>43904616</v>
      </c>
      <c r="H232" t="e">
        <f>VLOOKUP(G232,consolidado!$A$2:$B$656,2,FALSE)</f>
        <v>#N/A</v>
      </c>
    </row>
    <row r="233" spans="2:8" ht="17.399999999999999" hidden="1" customHeight="1">
      <c r="B233" s="4">
        <v>231</v>
      </c>
      <c r="C233" s="3" t="s">
        <v>525</v>
      </c>
      <c r="D233" s="3" t="s">
        <v>526</v>
      </c>
      <c r="E233" s="3" t="s">
        <v>22</v>
      </c>
      <c r="F233" s="3">
        <v>921430485</v>
      </c>
      <c r="G233" s="3">
        <v>43145534</v>
      </c>
      <c r="H233" t="e">
        <f>VLOOKUP(G233,consolidado!$A$2:$B$656,2,FALSE)</f>
        <v>#N/A</v>
      </c>
    </row>
    <row r="234" spans="2:8" ht="17.399999999999999" customHeight="1">
      <c r="B234" s="4">
        <v>232</v>
      </c>
      <c r="C234" s="3" t="s">
        <v>527</v>
      </c>
      <c r="D234" s="3" t="s">
        <v>528</v>
      </c>
      <c r="E234" s="3" t="s">
        <v>11</v>
      </c>
      <c r="F234" s="3" t="s">
        <v>529</v>
      </c>
      <c r="G234" s="3">
        <v>74277308</v>
      </c>
      <c r="H234" t="e">
        <f>VLOOKUP(G234,consolidado!$A$2:$B$656,2,FALSE)</f>
        <v>#N/A</v>
      </c>
    </row>
    <row r="235" spans="2:8" ht="17.399999999999999" hidden="1" customHeight="1">
      <c r="B235" s="4">
        <v>233</v>
      </c>
      <c r="C235" s="3" t="s">
        <v>530</v>
      </c>
      <c r="D235" s="3" t="s">
        <v>531</v>
      </c>
      <c r="E235" s="3" t="s">
        <v>5</v>
      </c>
      <c r="F235" s="3">
        <v>900773704</v>
      </c>
      <c r="G235" s="3">
        <v>72919856</v>
      </c>
      <c r="H235" t="e">
        <f>VLOOKUP(G235,consolidado!$A$2:$B$656,2,FALSE)</f>
        <v>#N/A</v>
      </c>
    </row>
    <row r="236" spans="2:8" ht="17.399999999999999" hidden="1" customHeight="1">
      <c r="B236" s="4">
        <v>234</v>
      </c>
      <c r="C236" s="3" t="s">
        <v>532</v>
      </c>
      <c r="D236" s="3" t="s">
        <v>533</v>
      </c>
      <c r="E236" s="3" t="s">
        <v>5</v>
      </c>
      <c r="F236" s="3">
        <v>936357730</v>
      </c>
      <c r="G236" s="3">
        <v>72801045</v>
      </c>
      <c r="H236" t="e">
        <f>VLOOKUP(G236,consolidado!$A$2:$B$656,2,FALSE)</f>
        <v>#N/A</v>
      </c>
    </row>
    <row r="237" spans="2:8" ht="17.399999999999999" hidden="1" customHeight="1">
      <c r="B237" s="4">
        <v>235</v>
      </c>
      <c r="C237" s="3" t="s">
        <v>534</v>
      </c>
      <c r="D237" s="3" t="s">
        <v>535</v>
      </c>
      <c r="E237" s="3" t="s">
        <v>22</v>
      </c>
      <c r="F237" s="3">
        <v>917812810</v>
      </c>
      <c r="G237" s="3">
        <v>41171884</v>
      </c>
      <c r="H237" t="e">
        <f>VLOOKUP(G237,consolidado!$A$2:$B$656,2,FALSE)</f>
        <v>#N/A</v>
      </c>
    </row>
    <row r="238" spans="2:8" ht="17.399999999999999" hidden="1" customHeight="1">
      <c r="B238" s="4">
        <v>236</v>
      </c>
      <c r="C238" s="3" t="s">
        <v>536</v>
      </c>
      <c r="D238" s="3" t="s">
        <v>537</v>
      </c>
      <c r="E238" s="3" t="s">
        <v>90</v>
      </c>
      <c r="F238" s="3" t="s">
        <v>538</v>
      </c>
      <c r="G238" s="3">
        <v>77273006</v>
      </c>
      <c r="H238" t="e">
        <f>VLOOKUP(G238,consolidado!$A$2:$B$656,2,FALSE)</f>
        <v>#N/A</v>
      </c>
    </row>
    <row r="239" spans="2:8" ht="17.399999999999999" hidden="1" customHeight="1">
      <c r="B239" s="4">
        <v>237</v>
      </c>
      <c r="C239" s="3" t="s">
        <v>539</v>
      </c>
      <c r="D239" s="3" t="s">
        <v>540</v>
      </c>
      <c r="E239" s="3" t="s">
        <v>99</v>
      </c>
      <c r="F239" s="3">
        <v>920314089</v>
      </c>
      <c r="G239" s="3">
        <v>21864746</v>
      </c>
      <c r="H239" t="e">
        <f>VLOOKUP(G239,consolidado!$A$2:$B$656,2,FALSE)</f>
        <v>#N/A</v>
      </c>
    </row>
    <row r="240" spans="2:8" ht="17.399999999999999" hidden="1" customHeight="1">
      <c r="B240" s="4">
        <v>238</v>
      </c>
      <c r="C240" s="3" t="s">
        <v>541</v>
      </c>
      <c r="D240" s="3" t="s">
        <v>542</v>
      </c>
      <c r="E240" s="3" t="s">
        <v>27</v>
      </c>
      <c r="F240" s="3">
        <v>980520938</v>
      </c>
      <c r="G240" s="3">
        <v>41536457</v>
      </c>
      <c r="H240" t="e">
        <f>VLOOKUP(G240,consolidado!$A$2:$B$656,2,FALSE)</f>
        <v>#N/A</v>
      </c>
    </row>
    <row r="241" spans="2:8" ht="17.399999999999999" customHeight="1">
      <c r="B241" s="4">
        <v>239</v>
      </c>
      <c r="C241" s="3" t="s">
        <v>543</v>
      </c>
      <c r="D241" s="3" t="s">
        <v>544</v>
      </c>
      <c r="E241" s="3" t="s">
        <v>71</v>
      </c>
      <c r="F241" s="3">
        <v>926265816</v>
      </c>
      <c r="G241" s="3">
        <v>44249106</v>
      </c>
      <c r="H241" t="e">
        <f>VLOOKUP(G241,consolidado!$A$2:$B$656,2,FALSE)</f>
        <v>#N/A</v>
      </c>
    </row>
    <row r="242" spans="2:8" ht="17.399999999999999" hidden="1" customHeight="1">
      <c r="B242" s="4">
        <v>240</v>
      </c>
      <c r="C242" s="3" t="s">
        <v>545</v>
      </c>
      <c r="D242" s="3" t="s">
        <v>546</v>
      </c>
      <c r="E242" s="3" t="s">
        <v>22</v>
      </c>
      <c r="F242" s="3">
        <v>941310699</v>
      </c>
      <c r="G242" s="3" t="s">
        <v>547</v>
      </c>
      <c r="H242" t="e">
        <f>VLOOKUP(G242,consolidado!$A$2:$B$656,2,FALSE)</f>
        <v>#N/A</v>
      </c>
    </row>
    <row r="243" spans="2:8" ht="17.399999999999999" hidden="1" customHeight="1">
      <c r="B243" s="4">
        <v>241</v>
      </c>
      <c r="C243" s="3" t="s">
        <v>548</v>
      </c>
      <c r="D243" s="3" t="s">
        <v>549</v>
      </c>
      <c r="E243" s="3" t="s">
        <v>71</v>
      </c>
      <c r="F243" s="3">
        <v>902253434</v>
      </c>
      <c r="G243" s="3" t="s">
        <v>550</v>
      </c>
      <c r="H243" t="e">
        <f>VLOOKUP(G243,consolidado!$A$2:$B$656,2,FALSE)</f>
        <v>#N/A</v>
      </c>
    </row>
    <row r="244" spans="2:8" ht="17.399999999999999" hidden="1" customHeight="1">
      <c r="B244" s="4">
        <v>242</v>
      </c>
      <c r="C244" s="3" t="s">
        <v>551</v>
      </c>
      <c r="D244" s="3" t="s">
        <v>552</v>
      </c>
      <c r="E244" s="3" t="s">
        <v>22</v>
      </c>
      <c r="F244" s="3">
        <v>933866327</v>
      </c>
      <c r="G244" s="3">
        <v>71572853</v>
      </c>
      <c r="H244" t="e">
        <f>VLOOKUP(G244,consolidado!$A$2:$B$656,2,FALSE)</f>
        <v>#N/A</v>
      </c>
    </row>
    <row r="245" spans="2:8" ht="17.399999999999999" customHeight="1">
      <c r="B245" s="4">
        <v>243</v>
      </c>
      <c r="C245" s="3" t="s">
        <v>553</v>
      </c>
      <c r="D245" s="3" t="s">
        <v>554</v>
      </c>
      <c r="E245" s="3" t="s">
        <v>11</v>
      </c>
      <c r="F245" s="3">
        <v>945999308</v>
      </c>
      <c r="G245" s="3">
        <v>70362597</v>
      </c>
      <c r="H245" t="e">
        <f>VLOOKUP(G245,consolidado!$A$2:$B$656,2,FALSE)</f>
        <v>#N/A</v>
      </c>
    </row>
    <row r="246" spans="2:8" ht="17.399999999999999" customHeight="1">
      <c r="B246" s="4">
        <v>244</v>
      </c>
      <c r="C246" s="3" t="s">
        <v>555</v>
      </c>
      <c r="D246" s="3" t="s">
        <v>556</v>
      </c>
      <c r="E246" s="3" t="s">
        <v>90</v>
      </c>
      <c r="F246" s="3">
        <v>913790329</v>
      </c>
      <c r="G246" s="3">
        <v>41996473</v>
      </c>
      <c r="H246" t="e">
        <f>VLOOKUP(G246,consolidado!$A$2:$B$656,2,FALSE)</f>
        <v>#N/A</v>
      </c>
    </row>
    <row r="247" spans="2:8" ht="17.399999999999999" hidden="1" customHeight="1">
      <c r="B247" s="4">
        <v>245</v>
      </c>
      <c r="C247" s="3" t="s">
        <v>557</v>
      </c>
      <c r="D247" s="3" t="s">
        <v>558</v>
      </c>
      <c r="E247" s="3" t="s">
        <v>126</v>
      </c>
      <c r="F247" s="3">
        <v>954494022</v>
      </c>
      <c r="G247" s="3">
        <v>80060253</v>
      </c>
      <c r="H247" t="e">
        <f>VLOOKUP(G247,consolidado!$A$2:$B$656,2,FALSE)</f>
        <v>#N/A</v>
      </c>
    </row>
    <row r="248" spans="2:8" ht="17.399999999999999" hidden="1" customHeight="1">
      <c r="B248" s="4">
        <v>246</v>
      </c>
      <c r="C248" s="3" t="s">
        <v>559</v>
      </c>
      <c r="D248" s="3" t="s">
        <v>560</v>
      </c>
      <c r="E248" s="3" t="s">
        <v>5</v>
      </c>
      <c r="F248" s="3" t="s">
        <v>561</v>
      </c>
      <c r="G248" s="3">
        <v>41676070</v>
      </c>
      <c r="H248" t="e">
        <f>VLOOKUP(G248,consolidado!$A$2:$B$656,2,FALSE)</f>
        <v>#N/A</v>
      </c>
    </row>
    <row r="249" spans="2:8" ht="17.399999999999999" customHeight="1">
      <c r="B249" s="4">
        <v>247</v>
      </c>
      <c r="C249" s="3" t="s">
        <v>562</v>
      </c>
      <c r="D249" s="3" t="s">
        <v>563</v>
      </c>
      <c r="E249" s="3" t="s">
        <v>2</v>
      </c>
      <c r="F249" s="3">
        <v>964970347</v>
      </c>
      <c r="G249" s="3">
        <v>45123508</v>
      </c>
      <c r="H249" t="e">
        <f>VLOOKUP(G249,consolidado!$A$2:$B$656,2,FALSE)</f>
        <v>#N/A</v>
      </c>
    </row>
    <row r="250" spans="2:8" ht="17.399999999999999" customHeight="1">
      <c r="B250" s="4">
        <v>248</v>
      </c>
      <c r="C250" s="3" t="s">
        <v>564</v>
      </c>
      <c r="D250" s="3" t="s">
        <v>565</v>
      </c>
      <c r="E250" s="3" t="s">
        <v>135</v>
      </c>
      <c r="F250" s="3">
        <v>968825713</v>
      </c>
      <c r="G250" s="3">
        <v>73338526</v>
      </c>
      <c r="H250" t="e">
        <f>VLOOKUP(G250,consolidado!$A$2:$B$656,2,FALSE)</f>
        <v>#N/A</v>
      </c>
    </row>
    <row r="251" spans="2:8" ht="17.399999999999999" hidden="1" customHeight="1">
      <c r="B251" s="4">
        <v>249</v>
      </c>
      <c r="C251" s="3" t="s">
        <v>566</v>
      </c>
      <c r="D251" s="3" t="s">
        <v>567</v>
      </c>
      <c r="E251" s="3" t="s">
        <v>36</v>
      </c>
      <c r="F251" s="3">
        <v>935084522</v>
      </c>
      <c r="G251" s="3">
        <v>41651018</v>
      </c>
      <c r="H251" t="e">
        <f>VLOOKUP(G251,consolidado!$A$2:$B$656,2,FALSE)</f>
        <v>#N/A</v>
      </c>
    </row>
    <row r="252" spans="2:8" ht="17.399999999999999" hidden="1" customHeight="1">
      <c r="B252" s="4">
        <v>250</v>
      </c>
      <c r="C252" s="3" t="s">
        <v>568</v>
      </c>
      <c r="D252" s="3" t="s">
        <v>569</v>
      </c>
      <c r="E252" s="3" t="s">
        <v>19</v>
      </c>
      <c r="F252" s="3">
        <v>921393880</v>
      </c>
      <c r="G252" s="3">
        <v>70605584</v>
      </c>
      <c r="H252" t="e">
        <f>VLOOKUP(G252,consolidado!$A$2:$B$656,2,FALSE)</f>
        <v>#N/A</v>
      </c>
    </row>
    <row r="253" spans="2:8" ht="17.399999999999999" hidden="1" customHeight="1">
      <c r="B253" s="4">
        <v>251</v>
      </c>
      <c r="C253" s="3" t="s">
        <v>570</v>
      </c>
      <c r="D253" s="3" t="s">
        <v>571</v>
      </c>
      <c r="E253" s="3" t="s">
        <v>27</v>
      </c>
      <c r="F253" s="3">
        <v>943076964</v>
      </c>
      <c r="G253" s="3">
        <v>70099633</v>
      </c>
      <c r="H253" t="e">
        <f>VLOOKUP(G253,consolidado!$A$2:$B$656,2,FALSE)</f>
        <v>#N/A</v>
      </c>
    </row>
    <row r="254" spans="2:8" ht="17.399999999999999" hidden="1" customHeight="1">
      <c r="B254" s="4">
        <v>252</v>
      </c>
      <c r="C254" s="3" t="s">
        <v>572</v>
      </c>
      <c r="D254" s="3" t="s">
        <v>573</v>
      </c>
      <c r="E254" s="3" t="s">
        <v>11</v>
      </c>
      <c r="F254" s="3">
        <v>902244127</v>
      </c>
      <c r="G254" s="3">
        <v>77501764</v>
      </c>
      <c r="H254" t="e">
        <f>VLOOKUP(G254,consolidado!$A$2:$B$656,2,FALSE)</f>
        <v>#N/A</v>
      </c>
    </row>
    <row r="255" spans="2:8" ht="17.399999999999999" hidden="1" customHeight="1">
      <c r="B255" s="4">
        <v>253</v>
      </c>
      <c r="C255" s="3" t="s">
        <v>574</v>
      </c>
      <c r="D255" s="3" t="s">
        <v>575</v>
      </c>
      <c r="E255" s="3" t="s">
        <v>22</v>
      </c>
      <c r="F255" s="3">
        <v>969553656</v>
      </c>
      <c r="G255" s="3">
        <v>41112617</v>
      </c>
      <c r="H255" t="e">
        <f>VLOOKUP(G255,consolidado!$A$2:$B$656,2,FALSE)</f>
        <v>#N/A</v>
      </c>
    </row>
    <row r="256" spans="2:8" ht="17.399999999999999" hidden="1" customHeight="1">
      <c r="B256" s="4">
        <v>254</v>
      </c>
      <c r="C256" s="3" t="s">
        <v>576</v>
      </c>
      <c r="D256" s="3" t="s">
        <v>577</v>
      </c>
      <c r="E256" s="3" t="s">
        <v>27</v>
      </c>
      <c r="F256" s="3">
        <v>936353217</v>
      </c>
      <c r="G256" s="3">
        <v>76598077</v>
      </c>
      <c r="H256" t="e">
        <f>VLOOKUP(G256,consolidado!$A$2:$B$656,2,FALSE)</f>
        <v>#N/A</v>
      </c>
    </row>
    <row r="257" spans="2:8" ht="17.399999999999999" hidden="1" customHeight="1">
      <c r="B257" s="4">
        <v>255</v>
      </c>
      <c r="C257" s="3" t="s">
        <v>578</v>
      </c>
      <c r="D257" s="3" t="s">
        <v>579</v>
      </c>
      <c r="E257" s="3" t="s">
        <v>36</v>
      </c>
      <c r="F257" s="3" t="s">
        <v>580</v>
      </c>
      <c r="G257" s="3">
        <v>42408411</v>
      </c>
      <c r="H257" t="e">
        <f>VLOOKUP(G257,consolidado!$A$2:$B$656,2,FALSE)</f>
        <v>#N/A</v>
      </c>
    </row>
    <row r="258" spans="2:8" ht="17.399999999999999" hidden="1" customHeight="1">
      <c r="B258" s="4">
        <v>256</v>
      </c>
      <c r="C258" s="3" t="s">
        <v>581</v>
      </c>
      <c r="D258" s="3" t="s">
        <v>582</v>
      </c>
      <c r="E258" s="3" t="s">
        <v>11</v>
      </c>
      <c r="F258" s="3">
        <v>919703341</v>
      </c>
      <c r="G258" s="3">
        <v>77813385</v>
      </c>
      <c r="H258" t="e">
        <f>VLOOKUP(G258,consolidado!$A$2:$B$656,2,FALSE)</f>
        <v>#N/A</v>
      </c>
    </row>
    <row r="259" spans="2:8" ht="17.399999999999999" hidden="1" customHeight="1">
      <c r="B259" s="4">
        <v>257</v>
      </c>
      <c r="C259" s="3" t="s">
        <v>583</v>
      </c>
      <c r="D259" s="3" t="s">
        <v>584</v>
      </c>
      <c r="E259" s="3" t="s">
        <v>14</v>
      </c>
      <c r="F259" s="3">
        <v>950922462</v>
      </c>
      <c r="G259" s="3">
        <v>75780955</v>
      </c>
      <c r="H259" t="e">
        <f>VLOOKUP(G259,consolidado!$A$2:$B$656,2,FALSE)</f>
        <v>#N/A</v>
      </c>
    </row>
    <row r="260" spans="2:8" ht="17.399999999999999" hidden="1" customHeight="1">
      <c r="B260" s="4">
        <v>258</v>
      </c>
      <c r="C260" s="3" t="s">
        <v>585</v>
      </c>
      <c r="D260" s="3" t="s">
        <v>586</v>
      </c>
      <c r="E260" s="3" t="s">
        <v>317</v>
      </c>
      <c r="F260" s="3">
        <v>956053142</v>
      </c>
      <c r="G260" s="3">
        <v>40088068</v>
      </c>
      <c r="H260" t="e">
        <f>VLOOKUP(G260,consolidado!$A$2:$B$656,2,FALSE)</f>
        <v>#N/A</v>
      </c>
    </row>
    <row r="261" spans="2:8" ht="17.399999999999999" hidden="1" customHeight="1">
      <c r="B261" s="4">
        <v>259</v>
      </c>
      <c r="C261" s="3" t="s">
        <v>587</v>
      </c>
      <c r="D261" s="3" t="s">
        <v>588</v>
      </c>
      <c r="E261" s="3" t="s">
        <v>22</v>
      </c>
      <c r="F261" s="3">
        <v>955918541</v>
      </c>
      <c r="G261" s="3">
        <v>21886108</v>
      </c>
      <c r="H261" t="e">
        <f>VLOOKUP(G261,consolidado!$A$2:$B$656,2,FALSE)</f>
        <v>#N/A</v>
      </c>
    </row>
    <row r="262" spans="2:8" ht="17.399999999999999" hidden="1" customHeight="1">
      <c r="B262" s="4">
        <v>260</v>
      </c>
      <c r="C262" s="3" t="s">
        <v>589</v>
      </c>
      <c r="D262" s="3" t="s">
        <v>590</v>
      </c>
      <c r="E262" s="3" t="s">
        <v>135</v>
      </c>
      <c r="F262" s="3">
        <v>961616597</v>
      </c>
      <c r="G262" s="3">
        <v>44080780</v>
      </c>
      <c r="H262" t="e">
        <f>VLOOKUP(G262,consolidado!$A$2:$B$656,2,FALSE)</f>
        <v>#N/A</v>
      </c>
    </row>
    <row r="263" spans="2:8" ht="17.399999999999999" hidden="1" customHeight="1">
      <c r="B263" s="4">
        <v>261</v>
      </c>
      <c r="C263" s="3" t="s">
        <v>591</v>
      </c>
      <c r="D263" s="3" t="s">
        <v>592</v>
      </c>
      <c r="E263" s="3" t="s">
        <v>5</v>
      </c>
      <c r="F263" s="3" t="s">
        <v>593</v>
      </c>
      <c r="G263" s="3">
        <v>21885259</v>
      </c>
      <c r="H263" t="e">
        <f>VLOOKUP(G263,consolidado!$A$2:$B$656,2,FALSE)</f>
        <v>#N/A</v>
      </c>
    </row>
    <row r="264" spans="2:8" ht="17.399999999999999" hidden="1" customHeight="1">
      <c r="B264" s="4">
        <v>262</v>
      </c>
      <c r="C264" s="3" t="s">
        <v>594</v>
      </c>
      <c r="D264" s="3" t="s">
        <v>595</v>
      </c>
      <c r="E264" s="3" t="s">
        <v>596</v>
      </c>
      <c r="F264" s="3">
        <v>908537121</v>
      </c>
      <c r="G264" s="3">
        <v>46363463</v>
      </c>
      <c r="H264" t="e">
        <f>VLOOKUP(G264,consolidado!$A$2:$B$656,2,FALSE)</f>
        <v>#N/A</v>
      </c>
    </row>
    <row r="265" spans="2:8" ht="17.399999999999999" hidden="1" customHeight="1">
      <c r="B265" s="4">
        <v>263</v>
      </c>
      <c r="C265" s="3" t="s">
        <v>597</v>
      </c>
      <c r="D265" s="3" t="s">
        <v>598</v>
      </c>
      <c r="E265" s="3" t="s">
        <v>596</v>
      </c>
      <c r="F265" s="3">
        <v>944121137</v>
      </c>
      <c r="G265" s="3">
        <v>21851670</v>
      </c>
      <c r="H265" t="e">
        <f>VLOOKUP(G265,consolidado!$A$2:$B$656,2,FALSE)</f>
        <v>#N/A</v>
      </c>
    </row>
    <row r="266" spans="2:8" ht="17.399999999999999" hidden="1" customHeight="1">
      <c r="B266" s="4">
        <v>264</v>
      </c>
      <c r="C266" s="3" t="s">
        <v>599</v>
      </c>
      <c r="D266" s="3" t="s">
        <v>600</v>
      </c>
      <c r="E266" s="3" t="s">
        <v>8</v>
      </c>
      <c r="F266" s="3">
        <v>916435601</v>
      </c>
      <c r="G266" s="3">
        <v>45828199</v>
      </c>
      <c r="H266" t="e">
        <f>VLOOKUP(G266,consolidado!$A$2:$B$656,2,FALSE)</f>
        <v>#N/A</v>
      </c>
    </row>
    <row r="267" spans="2:8" ht="17.399999999999999" hidden="1" customHeight="1">
      <c r="B267" s="4">
        <v>265</v>
      </c>
      <c r="C267" s="3" t="s">
        <v>601</v>
      </c>
      <c r="D267" s="3" t="s">
        <v>602</v>
      </c>
      <c r="E267" s="3" t="s">
        <v>596</v>
      </c>
      <c r="F267" s="3">
        <v>995533288</v>
      </c>
      <c r="G267" s="3">
        <v>42286515</v>
      </c>
      <c r="H267" t="e">
        <f>VLOOKUP(G267,consolidado!$A$2:$B$656,2,FALSE)</f>
        <v>#N/A</v>
      </c>
    </row>
    <row r="268" spans="2:8" ht="17.399999999999999" hidden="1" customHeight="1">
      <c r="B268" s="4">
        <v>266</v>
      </c>
      <c r="C268" s="3" t="s">
        <v>603</v>
      </c>
      <c r="D268" s="3" t="s">
        <v>604</v>
      </c>
      <c r="E268" s="3" t="s">
        <v>5</v>
      </c>
      <c r="F268" s="3">
        <v>947265609</v>
      </c>
      <c r="G268" s="3">
        <v>21863667</v>
      </c>
      <c r="H268" t="e">
        <f>VLOOKUP(G268,consolidado!$A$2:$B$656,2,FALSE)</f>
        <v>#N/A</v>
      </c>
    </row>
    <row r="269" spans="2:8" ht="17.399999999999999" hidden="1" customHeight="1">
      <c r="B269" s="4">
        <v>267</v>
      </c>
      <c r="C269" s="3" t="s">
        <v>605</v>
      </c>
      <c r="D269" s="3" t="s">
        <v>606</v>
      </c>
      <c r="E269" s="3" t="s">
        <v>99</v>
      </c>
      <c r="F269" s="3">
        <v>921841005</v>
      </c>
      <c r="G269" s="3">
        <v>48674029</v>
      </c>
      <c r="H269" t="e">
        <f>VLOOKUP(G269,consolidado!$A$2:$B$656,2,FALSE)</f>
        <v>#N/A</v>
      </c>
    </row>
    <row r="270" spans="2:8" ht="17.399999999999999" hidden="1" customHeight="1">
      <c r="B270" s="4">
        <v>268</v>
      </c>
      <c r="C270" s="3" t="s">
        <v>607</v>
      </c>
      <c r="D270" s="3" t="s">
        <v>608</v>
      </c>
      <c r="E270" s="3" t="s">
        <v>22</v>
      </c>
      <c r="F270" s="3">
        <v>928270969</v>
      </c>
      <c r="G270" s="3">
        <v>21851781</v>
      </c>
      <c r="H270" t="e">
        <f>VLOOKUP(G270,consolidado!$A$2:$B$656,2,FALSE)</f>
        <v>#N/A</v>
      </c>
    </row>
    <row r="271" spans="2:8" ht="17.399999999999999" hidden="1" customHeight="1">
      <c r="B271" s="4">
        <v>269</v>
      </c>
      <c r="C271" s="3" t="s">
        <v>609</v>
      </c>
      <c r="D271" s="3" t="s">
        <v>610</v>
      </c>
      <c r="E271" s="3" t="s">
        <v>99</v>
      </c>
      <c r="F271" s="3">
        <v>912363109</v>
      </c>
      <c r="G271" s="3">
        <v>70098756</v>
      </c>
      <c r="H271" t="e">
        <f>VLOOKUP(G271,consolidado!$A$2:$B$656,2,FALSE)</f>
        <v>#N/A</v>
      </c>
    </row>
    <row r="272" spans="2:8" ht="17.399999999999999" hidden="1" customHeight="1">
      <c r="B272" s="4">
        <v>270</v>
      </c>
      <c r="C272" s="3" t="s">
        <v>611</v>
      </c>
      <c r="D272" s="3" t="s">
        <v>612</v>
      </c>
      <c r="E272" s="3" t="s">
        <v>22</v>
      </c>
      <c r="F272" s="3">
        <v>922706526</v>
      </c>
      <c r="G272" s="3">
        <v>21819456</v>
      </c>
      <c r="H272" t="e">
        <f>VLOOKUP(G272,consolidado!$A$2:$B$656,2,FALSE)</f>
        <v>#N/A</v>
      </c>
    </row>
    <row r="273" spans="2:8" ht="17.399999999999999" hidden="1" customHeight="1">
      <c r="B273" s="4">
        <v>271</v>
      </c>
      <c r="C273" s="3" t="s">
        <v>613</v>
      </c>
      <c r="D273" s="3" t="s">
        <v>614</v>
      </c>
      <c r="E273" s="3" t="s">
        <v>317</v>
      </c>
      <c r="F273" s="3">
        <v>933142570</v>
      </c>
      <c r="G273" s="3">
        <v>21838938</v>
      </c>
      <c r="H273" t="e">
        <f>VLOOKUP(G273,consolidado!$A$2:$B$656,2,FALSE)</f>
        <v>#N/A</v>
      </c>
    </row>
    <row r="274" spans="2:8" ht="17.399999999999999" hidden="1" customHeight="1">
      <c r="B274" s="4">
        <v>272</v>
      </c>
      <c r="C274" s="3" t="s">
        <v>615</v>
      </c>
      <c r="D274" s="3" t="s">
        <v>616</v>
      </c>
      <c r="E274" s="3" t="s">
        <v>27</v>
      </c>
      <c r="F274" s="3">
        <v>935553369</v>
      </c>
      <c r="G274" s="3">
        <v>72784530</v>
      </c>
      <c r="H274" t="e">
        <f>VLOOKUP(G274,consolidado!$A$2:$B$656,2,FALSE)</f>
        <v>#N/A</v>
      </c>
    </row>
    <row r="275" spans="2:8" ht="17.399999999999999" hidden="1" customHeight="1">
      <c r="B275" s="4">
        <v>273</v>
      </c>
      <c r="C275" s="3" t="s">
        <v>617</v>
      </c>
      <c r="D275" s="3" t="s">
        <v>618</v>
      </c>
      <c r="E275" s="3" t="s">
        <v>5</v>
      </c>
      <c r="F275" s="3" t="s">
        <v>619</v>
      </c>
      <c r="G275" s="3">
        <v>21886051</v>
      </c>
      <c r="H275" t="e">
        <f>VLOOKUP(G275,consolidado!$A$2:$B$656,2,FALSE)</f>
        <v>#N/A</v>
      </c>
    </row>
    <row r="276" spans="2:8" ht="17.399999999999999" hidden="1" customHeight="1">
      <c r="B276" s="4">
        <v>274</v>
      </c>
      <c r="C276" s="3" t="s">
        <v>620</v>
      </c>
      <c r="D276" s="3" t="s">
        <v>621</v>
      </c>
      <c r="E276" s="3" t="s">
        <v>22</v>
      </c>
      <c r="F276" s="3">
        <v>971202140</v>
      </c>
      <c r="G276" s="3">
        <v>45027045</v>
      </c>
      <c r="H276" t="e">
        <f>VLOOKUP(G276,consolidado!$A$2:$B$656,2,FALSE)</f>
        <v>#N/A</v>
      </c>
    </row>
    <row r="277" spans="2:8" ht="17.399999999999999" hidden="1" customHeight="1">
      <c r="B277" s="4">
        <v>275</v>
      </c>
      <c r="C277" s="3" t="s">
        <v>622</v>
      </c>
      <c r="D277" s="3" t="s">
        <v>623</v>
      </c>
      <c r="E277" s="3" t="s">
        <v>135</v>
      </c>
      <c r="F277" s="3">
        <v>955939014</v>
      </c>
      <c r="G277" s="3">
        <v>21807490</v>
      </c>
      <c r="H277" t="e">
        <f>VLOOKUP(G277,consolidado!$A$2:$B$656,2,FALSE)</f>
        <v>#N/A</v>
      </c>
    </row>
    <row r="278" spans="2:8" ht="17.399999999999999" hidden="1" customHeight="1">
      <c r="B278" s="4">
        <v>276</v>
      </c>
      <c r="C278" s="3" t="s">
        <v>624</v>
      </c>
      <c r="D278" s="3" t="s">
        <v>625</v>
      </c>
      <c r="E278" s="3" t="s">
        <v>126</v>
      </c>
      <c r="F278" s="3">
        <v>901790163</v>
      </c>
      <c r="G278" s="3">
        <v>74171164</v>
      </c>
      <c r="H278" t="e">
        <f>VLOOKUP(G278,consolidado!$A$2:$B$656,2,FALSE)</f>
        <v>#N/A</v>
      </c>
    </row>
    <row r="279" spans="2:8" ht="17.399999999999999" hidden="1" customHeight="1">
      <c r="B279" s="4">
        <v>277</v>
      </c>
      <c r="C279" s="3" t="s">
        <v>626</v>
      </c>
      <c r="D279" s="3" t="s">
        <v>627</v>
      </c>
      <c r="E279" s="3" t="s">
        <v>596</v>
      </c>
      <c r="F279" s="3">
        <v>974897863</v>
      </c>
      <c r="G279" s="3">
        <v>46416248</v>
      </c>
      <c r="H279" t="e">
        <f>VLOOKUP(G279,consolidado!$A$2:$B$656,2,FALSE)</f>
        <v>#N/A</v>
      </c>
    </row>
    <row r="280" spans="2:8" ht="17.399999999999999" hidden="1" customHeight="1">
      <c r="B280" s="4">
        <v>278</v>
      </c>
      <c r="C280" s="3" t="s">
        <v>628</v>
      </c>
      <c r="D280" s="3" t="s">
        <v>629</v>
      </c>
      <c r="E280" s="3" t="s">
        <v>596</v>
      </c>
      <c r="F280" s="3">
        <v>956682879</v>
      </c>
      <c r="G280" s="3">
        <v>21873605</v>
      </c>
      <c r="H280" t="e">
        <f>VLOOKUP(G280,consolidado!$A$2:$B$656,2,FALSE)</f>
        <v>#N/A</v>
      </c>
    </row>
    <row r="281" spans="2:8" ht="17.399999999999999" hidden="1" customHeight="1">
      <c r="B281" s="4">
        <v>279</v>
      </c>
      <c r="C281" s="3" t="s">
        <v>630</v>
      </c>
      <c r="D281" s="3" t="s">
        <v>631</v>
      </c>
      <c r="E281" s="3" t="s">
        <v>8</v>
      </c>
      <c r="F281" s="3">
        <v>942811373</v>
      </c>
      <c r="G281" s="3">
        <v>21785115</v>
      </c>
      <c r="H281" t="e">
        <f>VLOOKUP(G281,consolidado!$A$2:$B$656,2,FALSE)</f>
        <v>#N/A</v>
      </c>
    </row>
    <row r="282" spans="2:8" ht="17.399999999999999" hidden="1" customHeight="1">
      <c r="B282" s="4">
        <v>280</v>
      </c>
      <c r="C282" s="3" t="s">
        <v>632</v>
      </c>
      <c r="D282" s="3" t="s">
        <v>633</v>
      </c>
      <c r="E282" s="3" t="s">
        <v>230</v>
      </c>
      <c r="F282" s="3">
        <v>960636093</v>
      </c>
      <c r="G282" s="3">
        <v>74417191</v>
      </c>
      <c r="H282" t="e">
        <f>VLOOKUP(G282,consolidado!$A$2:$B$656,2,FALSE)</f>
        <v>#N/A</v>
      </c>
    </row>
    <row r="283" spans="2:8" ht="17.399999999999999" hidden="1" customHeight="1">
      <c r="B283" s="4">
        <v>281</v>
      </c>
      <c r="C283" s="3" t="s">
        <v>634</v>
      </c>
      <c r="D283" s="3" t="s">
        <v>635</v>
      </c>
      <c r="E283" s="3" t="s">
        <v>36</v>
      </c>
      <c r="F283" s="3">
        <v>930999115</v>
      </c>
      <c r="G283" s="3">
        <v>46690623</v>
      </c>
      <c r="H283" t="e">
        <f>VLOOKUP(G283,consolidado!$A$2:$B$656,2,FALSE)</f>
        <v>#N/A</v>
      </c>
    </row>
    <row r="284" spans="2:8" ht="17.399999999999999" hidden="1" customHeight="1">
      <c r="B284" s="4">
        <v>282</v>
      </c>
      <c r="C284" s="3" t="s">
        <v>636</v>
      </c>
      <c r="D284" s="3" t="s">
        <v>637</v>
      </c>
      <c r="E284" s="3" t="s">
        <v>2</v>
      </c>
      <c r="F284" s="3" t="s">
        <v>638</v>
      </c>
      <c r="G284" s="3">
        <v>41794523</v>
      </c>
      <c r="H284" t="e">
        <f>VLOOKUP(G284,consolidado!$A$2:$B$656,2,FALSE)</f>
        <v>#N/A</v>
      </c>
    </row>
    <row r="285" spans="2:8" ht="17.399999999999999" hidden="1" customHeight="1">
      <c r="B285" s="4">
        <v>283</v>
      </c>
      <c r="C285" s="3" t="s">
        <v>639</v>
      </c>
      <c r="D285" s="3" t="s">
        <v>640</v>
      </c>
      <c r="E285" s="3" t="s">
        <v>5</v>
      </c>
      <c r="F285" s="3">
        <v>920787827</v>
      </c>
      <c r="G285" s="3">
        <v>70249186</v>
      </c>
      <c r="H285" t="e">
        <f>VLOOKUP(G285,consolidado!$A$2:$B$656,2,FALSE)</f>
        <v>#N/A</v>
      </c>
    </row>
    <row r="286" spans="2:8" ht="17.399999999999999" hidden="1" customHeight="1">
      <c r="B286" s="4">
        <v>284</v>
      </c>
      <c r="C286" s="3" t="s">
        <v>641</v>
      </c>
      <c r="D286" s="3" t="s">
        <v>642</v>
      </c>
      <c r="E286" s="3" t="s">
        <v>22</v>
      </c>
      <c r="F286" s="3">
        <v>931220798</v>
      </c>
      <c r="G286" s="3">
        <v>73146866</v>
      </c>
      <c r="H286" t="e">
        <f>VLOOKUP(G286,consolidado!$A$2:$B$656,2,FALSE)</f>
        <v>#N/A</v>
      </c>
    </row>
    <row r="287" spans="2:8" ht="17.399999999999999" hidden="1" customHeight="1">
      <c r="B287" s="4">
        <v>285</v>
      </c>
      <c r="C287" s="3" t="s">
        <v>643</v>
      </c>
      <c r="D287" s="3" t="s">
        <v>644</v>
      </c>
      <c r="E287" s="3" t="s">
        <v>126</v>
      </c>
      <c r="F287" s="3">
        <v>902257913</v>
      </c>
      <c r="G287" s="3">
        <v>70746467</v>
      </c>
      <c r="H287" t="e">
        <f>VLOOKUP(G287,consolidado!$A$2:$B$656,2,FALSE)</f>
        <v>#N/A</v>
      </c>
    </row>
    <row r="288" spans="2:8" ht="17.399999999999999" hidden="1" customHeight="1">
      <c r="B288" s="4">
        <v>286</v>
      </c>
      <c r="C288" s="3" t="s">
        <v>645</v>
      </c>
      <c r="D288" s="3" t="s">
        <v>646</v>
      </c>
      <c r="E288" s="3" t="s">
        <v>19</v>
      </c>
      <c r="F288" s="3" t="s">
        <v>647</v>
      </c>
      <c r="G288" s="3">
        <v>21784064</v>
      </c>
      <c r="H288" t="e">
        <f>VLOOKUP(G288,consolidado!$A$2:$B$656,2,FALSE)</f>
        <v>#N/A</v>
      </c>
    </row>
    <row r="289" spans="2:8" ht="17.399999999999999" hidden="1" customHeight="1">
      <c r="B289" s="4">
        <v>287</v>
      </c>
      <c r="C289" s="3" t="s">
        <v>648</v>
      </c>
      <c r="D289" s="3" t="s">
        <v>649</v>
      </c>
      <c r="E289" s="3" t="s">
        <v>106</v>
      </c>
      <c r="F289" s="3">
        <v>950008220</v>
      </c>
      <c r="G289" s="3">
        <v>21868987</v>
      </c>
      <c r="H289" t="e">
        <f>VLOOKUP(G289,consolidado!$A$2:$B$656,2,FALSE)</f>
        <v>#N/A</v>
      </c>
    </row>
    <row r="290" spans="2:8" ht="17.399999999999999" hidden="1" customHeight="1">
      <c r="B290" s="4">
        <v>288</v>
      </c>
      <c r="C290" s="3" t="s">
        <v>650</v>
      </c>
      <c r="D290" s="3" t="s">
        <v>651</v>
      </c>
      <c r="E290" s="3" t="s">
        <v>5</v>
      </c>
      <c r="F290" s="3" t="s">
        <v>652</v>
      </c>
      <c r="G290" s="3">
        <v>22303840</v>
      </c>
      <c r="H290" t="e">
        <f>VLOOKUP(G290,consolidado!$A$2:$B$656,2,FALSE)</f>
        <v>#N/A</v>
      </c>
    </row>
    <row r="291" spans="2:8" ht="17.399999999999999" hidden="1" customHeight="1">
      <c r="B291" s="4">
        <v>289</v>
      </c>
      <c r="C291" s="3" t="s">
        <v>653</v>
      </c>
      <c r="D291" s="3" t="s">
        <v>654</v>
      </c>
      <c r="E291" s="3" t="s">
        <v>317</v>
      </c>
      <c r="F291" s="3">
        <v>998980535</v>
      </c>
      <c r="G291" s="3">
        <v>46113663</v>
      </c>
      <c r="H291" t="e">
        <f>VLOOKUP(G291,consolidado!$A$2:$B$656,2,FALSE)</f>
        <v>#N/A</v>
      </c>
    </row>
    <row r="292" spans="2:8" ht="17.399999999999999" hidden="1" customHeight="1">
      <c r="B292" s="4">
        <v>290</v>
      </c>
      <c r="C292" s="3" t="s">
        <v>655</v>
      </c>
      <c r="D292" s="3" t="s">
        <v>656</v>
      </c>
      <c r="E292" s="3" t="s">
        <v>5</v>
      </c>
      <c r="F292" s="3">
        <v>941392345</v>
      </c>
      <c r="G292" s="3">
        <v>45048639</v>
      </c>
      <c r="H292" t="e">
        <f>VLOOKUP(G292,consolidado!$A$2:$B$656,2,FALSE)</f>
        <v>#N/A</v>
      </c>
    </row>
    <row r="293" spans="2:8" ht="17.399999999999999" hidden="1" customHeight="1">
      <c r="B293" s="4">
        <v>291</v>
      </c>
      <c r="C293" s="3" t="s">
        <v>657</v>
      </c>
      <c r="D293" s="3" t="s">
        <v>658</v>
      </c>
      <c r="E293" s="3" t="s">
        <v>596</v>
      </c>
      <c r="F293" s="3" t="s">
        <v>659</v>
      </c>
      <c r="G293" s="3">
        <v>44953237</v>
      </c>
      <c r="H293" t="e">
        <f>VLOOKUP(G293,consolidado!$A$2:$B$656,2,FALSE)</f>
        <v>#N/A</v>
      </c>
    </row>
    <row r="294" spans="2:8" ht="17.399999999999999" hidden="1" customHeight="1">
      <c r="B294" s="4">
        <v>292</v>
      </c>
      <c r="C294" s="3" t="s">
        <v>660</v>
      </c>
      <c r="D294" s="3" t="s">
        <v>661</v>
      </c>
      <c r="E294" s="3" t="s">
        <v>596</v>
      </c>
      <c r="F294" s="3" t="s">
        <v>662</v>
      </c>
      <c r="G294" s="3">
        <v>40552662</v>
      </c>
      <c r="H294" t="e">
        <f>VLOOKUP(G294,consolidado!$A$2:$B$656,2,FALSE)</f>
        <v>#N/A</v>
      </c>
    </row>
    <row r="295" spans="2:8" ht="17.399999999999999" hidden="1" customHeight="1">
      <c r="B295" s="4">
        <v>293</v>
      </c>
      <c r="C295" s="3" t="s">
        <v>663</v>
      </c>
      <c r="D295" s="3" t="s">
        <v>664</v>
      </c>
      <c r="E295" s="3" t="s">
        <v>135</v>
      </c>
      <c r="F295" s="3" t="s">
        <v>665</v>
      </c>
      <c r="G295" s="3">
        <v>44749019</v>
      </c>
      <c r="H295" t="e">
        <f>VLOOKUP(G295,consolidado!$A$2:$B$656,2,FALSE)</f>
        <v>#N/A</v>
      </c>
    </row>
    <row r="296" spans="2:8" ht="17.399999999999999" hidden="1" customHeight="1">
      <c r="B296" s="4">
        <v>294</v>
      </c>
      <c r="C296" s="3" t="s">
        <v>666</v>
      </c>
      <c r="D296" s="3" t="s">
        <v>667</v>
      </c>
      <c r="E296" s="3" t="s">
        <v>135</v>
      </c>
      <c r="F296" s="3">
        <v>960295992</v>
      </c>
      <c r="G296" s="3">
        <v>21869970</v>
      </c>
      <c r="H296" t="e">
        <f>VLOOKUP(G296,consolidado!$A$2:$B$656,2,FALSE)</f>
        <v>#N/A</v>
      </c>
    </row>
    <row r="297" spans="2:8" ht="17.399999999999999" hidden="1" customHeight="1">
      <c r="B297" s="4">
        <v>295</v>
      </c>
      <c r="C297" s="3" t="s">
        <v>668</v>
      </c>
      <c r="D297" s="3" t="s">
        <v>669</v>
      </c>
      <c r="E297" s="3" t="s">
        <v>126</v>
      </c>
      <c r="F297" s="3">
        <v>956615324</v>
      </c>
      <c r="G297" s="3">
        <v>21867558</v>
      </c>
      <c r="H297" t="e">
        <f>VLOOKUP(G297,consolidado!$A$2:$B$656,2,FALSE)</f>
        <v>#N/A</v>
      </c>
    </row>
    <row r="298" spans="2:8" ht="17.399999999999999" hidden="1" customHeight="1">
      <c r="B298" s="4">
        <v>296</v>
      </c>
      <c r="C298" s="3" t="s">
        <v>670</v>
      </c>
      <c r="D298" s="3" t="s">
        <v>671</v>
      </c>
      <c r="E298" s="3" t="s">
        <v>126</v>
      </c>
      <c r="F298" s="3" t="s">
        <v>672</v>
      </c>
      <c r="G298" s="3">
        <v>44602371</v>
      </c>
      <c r="H298" t="e">
        <f>VLOOKUP(G298,consolidado!$A$2:$B$656,2,FALSE)</f>
        <v>#N/A</v>
      </c>
    </row>
    <row r="299" spans="2:8" ht="17.399999999999999" hidden="1" customHeight="1">
      <c r="B299" s="4">
        <v>297</v>
      </c>
      <c r="C299" s="3" t="s">
        <v>673</v>
      </c>
      <c r="D299" s="3" t="s">
        <v>674</v>
      </c>
      <c r="E299" s="3" t="s">
        <v>99</v>
      </c>
      <c r="F299" s="3">
        <v>972016952</v>
      </c>
      <c r="G299" s="3">
        <v>70312540</v>
      </c>
      <c r="H299" t="e">
        <f>VLOOKUP(G299,consolidado!$A$2:$B$656,2,FALSE)</f>
        <v>#N/A</v>
      </c>
    </row>
    <row r="300" spans="2:8" ht="17.399999999999999" customHeight="1">
      <c r="B300" s="4">
        <v>298</v>
      </c>
      <c r="C300" s="3" t="s">
        <v>675</v>
      </c>
      <c r="D300" s="3" t="s">
        <v>676</v>
      </c>
      <c r="E300" s="3" t="s">
        <v>106</v>
      </c>
      <c r="F300" s="3">
        <v>954880763</v>
      </c>
      <c r="G300" s="3">
        <v>43083022</v>
      </c>
      <c r="H300" t="e">
        <f>VLOOKUP(G300,consolidado!$A$2:$B$656,2,FALSE)</f>
        <v>#N/A</v>
      </c>
    </row>
    <row r="301" spans="2:8" ht="17.399999999999999" hidden="1" customHeight="1">
      <c r="B301" s="4">
        <v>299</v>
      </c>
      <c r="C301" s="3" t="s">
        <v>677</v>
      </c>
      <c r="D301" s="3" t="s">
        <v>678</v>
      </c>
      <c r="E301" s="3" t="s">
        <v>11</v>
      </c>
      <c r="F301" s="3">
        <v>952037051</v>
      </c>
      <c r="G301" s="3">
        <v>42739534</v>
      </c>
      <c r="H301" t="e">
        <f>VLOOKUP(G301,consolidado!$A$2:$B$656,2,FALSE)</f>
        <v>#N/A</v>
      </c>
    </row>
    <row r="302" spans="2:8" ht="17.399999999999999" hidden="1" customHeight="1">
      <c r="B302" s="4">
        <v>300</v>
      </c>
      <c r="C302" s="3" t="s">
        <v>679</v>
      </c>
      <c r="D302" s="3" t="s">
        <v>680</v>
      </c>
      <c r="E302" s="3" t="s">
        <v>8</v>
      </c>
      <c r="F302" s="3">
        <v>978741188</v>
      </c>
      <c r="G302" s="3">
        <v>44535961</v>
      </c>
      <c r="H302" t="e">
        <f>VLOOKUP(G302,consolidado!$A$2:$B$656,2,FALSE)</f>
        <v>#N/A</v>
      </c>
    </row>
    <row r="303" spans="2:8" ht="17.399999999999999" hidden="1" customHeight="1">
      <c r="B303" s="4">
        <v>301</v>
      </c>
      <c r="C303" s="3" t="s">
        <v>681</v>
      </c>
      <c r="D303" s="3" t="s">
        <v>682</v>
      </c>
      <c r="E303" s="3" t="s">
        <v>126</v>
      </c>
      <c r="F303" s="3">
        <v>970991577</v>
      </c>
      <c r="G303" s="3">
        <v>61298144</v>
      </c>
      <c r="H303" t="e">
        <f>VLOOKUP(G303,consolidado!$A$2:$B$656,2,FALSE)</f>
        <v>#N/A</v>
      </c>
    </row>
    <row r="304" spans="2:8" ht="17.399999999999999" hidden="1" customHeight="1">
      <c r="B304" s="4">
        <v>302</v>
      </c>
      <c r="C304" s="3" t="s">
        <v>683</v>
      </c>
      <c r="D304" s="3" t="s">
        <v>684</v>
      </c>
      <c r="E304" s="3" t="s">
        <v>22</v>
      </c>
      <c r="F304" s="3">
        <v>950162295</v>
      </c>
      <c r="G304" s="3">
        <v>72872536</v>
      </c>
      <c r="H304" t="e">
        <f>VLOOKUP(G304,consolidado!$A$2:$B$656,2,FALSE)</f>
        <v>#N/A</v>
      </c>
    </row>
    <row r="305" spans="2:8" ht="17.399999999999999" hidden="1" customHeight="1">
      <c r="B305" s="4">
        <v>303</v>
      </c>
      <c r="C305" s="3" t="s">
        <v>685</v>
      </c>
      <c r="D305" s="3" t="s">
        <v>686</v>
      </c>
      <c r="E305" s="3" t="s">
        <v>2</v>
      </c>
      <c r="F305" s="3">
        <v>984190711</v>
      </c>
      <c r="G305" s="3">
        <v>73438744</v>
      </c>
      <c r="H305" t="e">
        <f>VLOOKUP(G305,consolidado!$A$2:$B$656,2,FALSE)</f>
        <v>#N/A</v>
      </c>
    </row>
    <row r="306" spans="2:8" ht="17.399999999999999" hidden="1" customHeight="1">
      <c r="B306" s="4">
        <v>304</v>
      </c>
      <c r="C306" s="3" t="s">
        <v>687</v>
      </c>
      <c r="D306" s="3" t="s">
        <v>688</v>
      </c>
      <c r="E306" s="3" t="s">
        <v>135</v>
      </c>
      <c r="F306" s="3">
        <v>971900192</v>
      </c>
      <c r="G306" s="3">
        <v>76079364</v>
      </c>
      <c r="H306" t="e">
        <f>VLOOKUP(G306,consolidado!$A$2:$B$656,2,FALSE)</f>
        <v>#N/A</v>
      </c>
    </row>
    <row r="307" spans="2:8" ht="17.399999999999999" hidden="1" customHeight="1">
      <c r="B307" s="4">
        <v>305</v>
      </c>
      <c r="C307" s="3" t="s">
        <v>689</v>
      </c>
      <c r="D307" s="3" t="s">
        <v>690</v>
      </c>
      <c r="E307" s="3" t="s">
        <v>2</v>
      </c>
      <c r="F307" s="3">
        <v>993219508</v>
      </c>
      <c r="G307" s="3">
        <v>74624844</v>
      </c>
      <c r="H307" t="e">
        <f>VLOOKUP(G307,consolidado!$A$2:$B$656,2,FALSE)</f>
        <v>#N/A</v>
      </c>
    </row>
    <row r="308" spans="2:8" ht="17.399999999999999" hidden="1" customHeight="1">
      <c r="B308" s="4">
        <v>306</v>
      </c>
      <c r="C308" s="3" t="s">
        <v>691</v>
      </c>
      <c r="D308" s="3" t="s">
        <v>692</v>
      </c>
      <c r="E308" s="3" t="s">
        <v>2</v>
      </c>
      <c r="F308" s="3">
        <v>937602720</v>
      </c>
      <c r="G308" s="3">
        <v>46932240</v>
      </c>
      <c r="H308" t="e">
        <f>VLOOKUP(G308,consolidado!$A$2:$B$656,2,FALSE)</f>
        <v>#N/A</v>
      </c>
    </row>
    <row r="309" spans="2:8" ht="17.399999999999999" hidden="1" customHeight="1">
      <c r="B309" s="4">
        <v>307</v>
      </c>
      <c r="C309" s="3" t="s">
        <v>693</v>
      </c>
      <c r="D309" s="3" t="s">
        <v>694</v>
      </c>
      <c r="E309" s="3" t="s">
        <v>36</v>
      </c>
      <c r="F309" s="3">
        <v>936761846</v>
      </c>
      <c r="G309" s="3">
        <v>44321772</v>
      </c>
      <c r="H309" t="e">
        <f>VLOOKUP(G309,consolidado!$A$2:$B$656,2,FALSE)</f>
        <v>#N/A</v>
      </c>
    </row>
    <row r="310" spans="2:8" ht="17.399999999999999" hidden="1" customHeight="1">
      <c r="B310" s="4">
        <v>308</v>
      </c>
      <c r="C310" s="3" t="s">
        <v>695</v>
      </c>
      <c r="D310" s="3" t="s">
        <v>696</v>
      </c>
      <c r="E310" s="3" t="s">
        <v>36</v>
      </c>
      <c r="F310" s="3" t="s">
        <v>697</v>
      </c>
      <c r="G310" s="3">
        <v>73261084</v>
      </c>
      <c r="H310" t="e">
        <f>VLOOKUP(G310,consolidado!$A$2:$B$656,2,FALSE)</f>
        <v>#N/A</v>
      </c>
    </row>
    <row r="311" spans="2:8" ht="17.399999999999999" hidden="1" customHeight="1">
      <c r="B311" s="4">
        <v>309</v>
      </c>
      <c r="C311" s="3" t="s">
        <v>698</v>
      </c>
      <c r="D311" s="3" t="s">
        <v>699</v>
      </c>
      <c r="E311" s="3" t="s">
        <v>2</v>
      </c>
      <c r="F311" s="3">
        <v>998232755</v>
      </c>
      <c r="G311" s="3">
        <v>21849573</v>
      </c>
      <c r="H311" t="e">
        <f>VLOOKUP(G311,consolidado!$A$2:$B$656,2,FALSE)</f>
        <v>#N/A</v>
      </c>
    </row>
    <row r="312" spans="2:8" ht="17.399999999999999" hidden="1" customHeight="1">
      <c r="B312" s="4">
        <v>310</v>
      </c>
      <c r="C312" s="3" t="s">
        <v>700</v>
      </c>
      <c r="D312" s="3" t="s">
        <v>701</v>
      </c>
      <c r="E312" s="3" t="s">
        <v>22</v>
      </c>
      <c r="F312" s="3">
        <v>948658027</v>
      </c>
      <c r="G312" s="3">
        <v>72852730</v>
      </c>
      <c r="H312" t="e">
        <f>VLOOKUP(G312,consolidado!$A$2:$B$656,2,FALSE)</f>
        <v>#N/A</v>
      </c>
    </row>
    <row r="313" spans="2:8" ht="17.399999999999999" hidden="1" customHeight="1">
      <c r="B313" s="4">
        <v>311</v>
      </c>
      <c r="C313" s="3" t="s">
        <v>702</v>
      </c>
      <c r="D313" s="3" t="s">
        <v>703</v>
      </c>
      <c r="E313" s="3" t="s">
        <v>8</v>
      </c>
      <c r="F313" s="3">
        <v>932470546</v>
      </c>
      <c r="G313" s="3">
        <v>77227968</v>
      </c>
      <c r="H313" t="e">
        <f>VLOOKUP(G313,consolidado!$A$2:$B$656,2,FALSE)</f>
        <v>#N/A</v>
      </c>
    </row>
    <row r="314" spans="2:8" ht="17.399999999999999" hidden="1" customHeight="1">
      <c r="B314" s="4">
        <v>312</v>
      </c>
      <c r="C314" s="3" t="s">
        <v>704</v>
      </c>
      <c r="D314" s="3" t="s">
        <v>705</v>
      </c>
      <c r="E314" s="3" t="s">
        <v>135</v>
      </c>
      <c r="F314" s="3">
        <v>993448961</v>
      </c>
      <c r="G314" s="3">
        <v>21845970</v>
      </c>
      <c r="H314" t="e">
        <f>VLOOKUP(G314,consolidado!$A$2:$B$656,2,FALSE)</f>
        <v>#N/A</v>
      </c>
    </row>
    <row r="315" spans="2:8" ht="17.399999999999999" hidden="1" customHeight="1">
      <c r="B315" s="4">
        <v>313</v>
      </c>
      <c r="C315" s="3" t="s">
        <v>706</v>
      </c>
      <c r="D315" s="3" t="s">
        <v>707</v>
      </c>
      <c r="E315" s="3" t="s">
        <v>126</v>
      </c>
      <c r="F315" s="3">
        <v>966739081</v>
      </c>
      <c r="G315" s="3">
        <v>44857660</v>
      </c>
      <c r="H315" t="e">
        <f>VLOOKUP(G315,consolidado!$A$2:$B$656,2,FALSE)</f>
        <v>#N/A</v>
      </c>
    </row>
    <row r="316" spans="2:8" ht="17.399999999999999" hidden="1" customHeight="1">
      <c r="B316" s="4">
        <v>314</v>
      </c>
      <c r="C316" s="3" t="s">
        <v>708</v>
      </c>
      <c r="D316" s="3" t="s">
        <v>709</v>
      </c>
      <c r="E316" s="3" t="s">
        <v>710</v>
      </c>
      <c r="F316" s="3">
        <v>930275002</v>
      </c>
      <c r="G316" s="3">
        <v>41587522</v>
      </c>
      <c r="H316" t="e">
        <f>VLOOKUP(G316,consolidado!$A$2:$B$656,2,FALSE)</f>
        <v>#N/A</v>
      </c>
    </row>
    <row r="317" spans="2:8" ht="17.399999999999999" hidden="1" customHeight="1">
      <c r="B317" s="4">
        <v>315</v>
      </c>
      <c r="C317" s="3" t="s">
        <v>711</v>
      </c>
      <c r="D317" s="3" t="s">
        <v>712</v>
      </c>
      <c r="E317" s="3" t="s">
        <v>22</v>
      </c>
      <c r="F317" s="3">
        <v>925452697</v>
      </c>
      <c r="G317" s="3">
        <v>70051105</v>
      </c>
      <c r="H317" t="e">
        <f>VLOOKUP(G317,consolidado!$A$2:$B$656,2,FALSE)</f>
        <v>#N/A</v>
      </c>
    </row>
    <row r="318" spans="2:8" ht="17.399999999999999" hidden="1" customHeight="1">
      <c r="B318" s="4">
        <v>316</v>
      </c>
      <c r="C318" s="3" t="s">
        <v>713</v>
      </c>
      <c r="D318" s="3" t="s">
        <v>714</v>
      </c>
      <c r="E318" s="3" t="s">
        <v>99</v>
      </c>
      <c r="F318" s="3" t="s">
        <v>715</v>
      </c>
      <c r="G318" s="3">
        <v>42704332</v>
      </c>
      <c r="H318" t="e">
        <f>VLOOKUP(G318,consolidado!$A$2:$B$656,2,FALSE)</f>
        <v>#N/A</v>
      </c>
    </row>
    <row r="319" spans="2:8" ht="17.399999999999999" hidden="1" customHeight="1">
      <c r="B319" s="4">
        <v>317</v>
      </c>
      <c r="C319" s="3" t="s">
        <v>716</v>
      </c>
      <c r="D319" s="3" t="s">
        <v>717</v>
      </c>
      <c r="E319" s="3" t="s">
        <v>718</v>
      </c>
      <c r="F319" s="3">
        <v>946132109</v>
      </c>
      <c r="G319" s="3">
        <v>43107478</v>
      </c>
      <c r="H319" t="e">
        <f>VLOOKUP(G319,consolidado!$A$2:$B$656,2,FALSE)</f>
        <v>#N/A</v>
      </c>
    </row>
    <row r="320" spans="2:8" ht="17.399999999999999" hidden="1" customHeight="1">
      <c r="B320" s="4">
        <v>318</v>
      </c>
      <c r="C320" s="3" t="s">
        <v>719</v>
      </c>
      <c r="D320" s="3" t="s">
        <v>720</v>
      </c>
      <c r="E320" s="3" t="s">
        <v>106</v>
      </c>
      <c r="F320" s="3">
        <v>951875925</v>
      </c>
      <c r="G320" s="3">
        <v>73648566</v>
      </c>
      <c r="H320" t="e">
        <f>VLOOKUP(G320,consolidado!$A$2:$B$656,2,FALSE)</f>
        <v>#N/A</v>
      </c>
    </row>
    <row r="321" spans="2:8" ht="17.399999999999999" hidden="1" customHeight="1">
      <c r="B321" s="4">
        <v>319</v>
      </c>
      <c r="C321" s="3" t="s">
        <v>721</v>
      </c>
      <c r="D321" s="3" t="s">
        <v>722</v>
      </c>
      <c r="E321" s="3" t="s">
        <v>718</v>
      </c>
      <c r="F321" s="3">
        <v>998322738</v>
      </c>
      <c r="G321" s="3">
        <v>21815052</v>
      </c>
      <c r="H321" t="e">
        <f>VLOOKUP(G321,consolidado!$A$2:$B$656,2,FALSE)</f>
        <v>#N/A</v>
      </c>
    </row>
    <row r="322" spans="2:8" ht="17.399999999999999" hidden="1" customHeight="1">
      <c r="B322" s="4">
        <v>320</v>
      </c>
      <c r="C322" s="3" t="s">
        <v>723</v>
      </c>
      <c r="D322" s="3" t="s">
        <v>724</v>
      </c>
      <c r="E322" s="3" t="s">
        <v>718</v>
      </c>
      <c r="F322" s="3" t="s">
        <v>725</v>
      </c>
      <c r="G322" s="3">
        <v>41445602</v>
      </c>
      <c r="H322" t="e">
        <f>VLOOKUP(G322,consolidado!$A$2:$B$656,2,FALSE)</f>
        <v>#N/A</v>
      </c>
    </row>
    <row r="323" spans="2:8" ht="17.399999999999999" hidden="1" customHeight="1">
      <c r="B323" s="4">
        <v>321</v>
      </c>
      <c r="C323" s="3" t="s">
        <v>726</v>
      </c>
      <c r="D323" s="3" t="s">
        <v>727</v>
      </c>
      <c r="E323" s="3" t="s">
        <v>19</v>
      </c>
      <c r="F323" s="3" t="s">
        <v>728</v>
      </c>
      <c r="G323" s="3">
        <v>61577404</v>
      </c>
      <c r="H323" t="e">
        <f>VLOOKUP(G323,consolidado!$A$2:$B$656,2,FALSE)</f>
        <v>#N/A</v>
      </c>
    </row>
    <row r="324" spans="2:8" ht="17.399999999999999" hidden="1" customHeight="1">
      <c r="B324" s="4">
        <v>322</v>
      </c>
      <c r="C324" s="3" t="s">
        <v>729</v>
      </c>
      <c r="D324" s="3" t="s">
        <v>730</v>
      </c>
      <c r="E324" s="3" t="s">
        <v>718</v>
      </c>
      <c r="F324" s="3">
        <v>946186473</v>
      </c>
      <c r="G324" s="3">
        <v>42827804</v>
      </c>
      <c r="H324" t="e">
        <f>VLOOKUP(G324,consolidado!$A$2:$B$656,2,FALSE)</f>
        <v>#N/A</v>
      </c>
    </row>
    <row r="325" spans="2:8" ht="17.399999999999999" hidden="1" customHeight="1">
      <c r="B325" s="4">
        <v>323</v>
      </c>
      <c r="C325" s="3" t="s">
        <v>731</v>
      </c>
      <c r="D325" s="3" t="s">
        <v>732</v>
      </c>
      <c r="E325" s="3" t="s">
        <v>36</v>
      </c>
      <c r="F325" s="3">
        <v>958905246</v>
      </c>
      <c r="G325" s="3">
        <v>45537164</v>
      </c>
      <c r="H325" t="e">
        <f>VLOOKUP(G325,consolidado!$A$2:$B$656,2,FALSE)</f>
        <v>#N/A</v>
      </c>
    </row>
    <row r="326" spans="2:8" ht="17.399999999999999" hidden="1" customHeight="1">
      <c r="B326" s="4">
        <v>324</v>
      </c>
      <c r="C326" s="3" t="s">
        <v>733</v>
      </c>
      <c r="D326" s="3" t="s">
        <v>734</v>
      </c>
      <c r="E326" s="3" t="s">
        <v>22</v>
      </c>
      <c r="F326" s="3">
        <v>935266044</v>
      </c>
      <c r="G326" s="3">
        <v>71605480</v>
      </c>
      <c r="H326" t="e">
        <f>VLOOKUP(G326,consolidado!$A$2:$B$656,2,FALSE)</f>
        <v>#N/A</v>
      </c>
    </row>
    <row r="327" spans="2:8" ht="17.399999999999999" customHeight="1">
      <c r="B327" s="4">
        <v>325</v>
      </c>
      <c r="C327" s="3" t="s">
        <v>735</v>
      </c>
      <c r="D327" s="3" t="s">
        <v>736</v>
      </c>
      <c r="E327" s="3" t="s">
        <v>22</v>
      </c>
      <c r="F327" s="3" t="s">
        <v>737</v>
      </c>
      <c r="G327" s="3">
        <v>72382087</v>
      </c>
      <c r="H327" t="e">
        <f>VLOOKUP(G327,consolidado!$A$2:$B$656,2,FALSE)</f>
        <v>#N/A</v>
      </c>
    </row>
    <row r="328" spans="2:8" ht="17.399999999999999" hidden="1" customHeight="1">
      <c r="B328" s="4">
        <v>326</v>
      </c>
      <c r="C328" s="3" t="s">
        <v>738</v>
      </c>
      <c r="D328" s="3" t="s">
        <v>739</v>
      </c>
      <c r="E328" s="3" t="s">
        <v>22</v>
      </c>
      <c r="F328" s="3">
        <v>977693143</v>
      </c>
      <c r="G328" s="3">
        <v>46698006</v>
      </c>
      <c r="H328" t="e">
        <f>VLOOKUP(G328,consolidado!$A$2:$B$656,2,FALSE)</f>
        <v>#N/A</v>
      </c>
    </row>
    <row r="329" spans="2:8" ht="17.399999999999999" hidden="1" customHeight="1">
      <c r="B329" s="4">
        <v>327</v>
      </c>
      <c r="C329" s="3" t="s">
        <v>740</v>
      </c>
      <c r="D329" s="3" t="s">
        <v>741</v>
      </c>
      <c r="E329" s="3" t="s">
        <v>22</v>
      </c>
      <c r="F329" s="3">
        <v>958608401</v>
      </c>
      <c r="G329" s="3">
        <v>21786233</v>
      </c>
      <c r="H329" t="e">
        <f>VLOOKUP(G329,consolidado!$A$2:$B$656,2,FALSE)</f>
        <v>#N/A</v>
      </c>
    </row>
    <row r="330" spans="2:8" ht="17.399999999999999" hidden="1" customHeight="1">
      <c r="B330" s="4">
        <v>328</v>
      </c>
      <c r="C330" s="3" t="s">
        <v>742</v>
      </c>
      <c r="D330" s="3" t="s">
        <v>743</v>
      </c>
      <c r="E330" s="3" t="s">
        <v>230</v>
      </c>
      <c r="F330" s="3" t="s">
        <v>744</v>
      </c>
      <c r="G330" s="3">
        <v>21851052</v>
      </c>
      <c r="H330" t="e">
        <f>VLOOKUP(G330,consolidado!$A$2:$B$656,2,FALSE)</f>
        <v>#N/A</v>
      </c>
    </row>
    <row r="331" spans="2:8" ht="17.399999999999999" hidden="1" customHeight="1">
      <c r="B331" s="4">
        <v>329</v>
      </c>
      <c r="C331" s="3" t="s">
        <v>745</v>
      </c>
      <c r="D331" s="3" t="s">
        <v>746</v>
      </c>
      <c r="E331" s="3" t="s">
        <v>596</v>
      </c>
      <c r="F331" s="3" t="s">
        <v>747</v>
      </c>
      <c r="G331" s="3">
        <v>45852739</v>
      </c>
      <c r="H331" t="e">
        <f>VLOOKUP(G331,consolidado!$A$2:$B$656,2,FALSE)</f>
        <v>#N/A</v>
      </c>
    </row>
    <row r="332" spans="2:8" ht="17.399999999999999" hidden="1" customHeight="1">
      <c r="B332" s="4">
        <v>330</v>
      </c>
      <c r="C332" s="3" t="s">
        <v>748</v>
      </c>
      <c r="D332" s="3" t="s">
        <v>749</v>
      </c>
      <c r="E332" s="3" t="s">
        <v>36</v>
      </c>
      <c r="F332" s="3">
        <v>955618902</v>
      </c>
      <c r="G332" s="3">
        <v>43560624</v>
      </c>
      <c r="H332" t="e">
        <f>VLOOKUP(G332,consolidado!$A$2:$B$656,2,FALSE)</f>
        <v>#N/A</v>
      </c>
    </row>
    <row r="333" spans="2:8" ht="17.399999999999999" hidden="1" customHeight="1">
      <c r="B333" s="4">
        <v>331</v>
      </c>
      <c r="C333" s="3" t="s">
        <v>750</v>
      </c>
      <c r="D333" s="3" t="s">
        <v>751</v>
      </c>
      <c r="E333" s="3" t="s">
        <v>135</v>
      </c>
      <c r="F333" s="3">
        <v>955939014</v>
      </c>
      <c r="G333" s="3">
        <v>21807491</v>
      </c>
      <c r="H333" t="e">
        <f>VLOOKUP(G333,consolidado!$A$2:$B$656,2,FALSE)</f>
        <v>#N/A</v>
      </c>
    </row>
    <row r="334" spans="2:8" ht="17.399999999999999" hidden="1" customHeight="1">
      <c r="B334" s="4">
        <v>332</v>
      </c>
      <c r="C334" s="3" t="s">
        <v>752</v>
      </c>
      <c r="D334" s="3" t="s">
        <v>753</v>
      </c>
      <c r="E334" s="3" t="s">
        <v>14</v>
      </c>
      <c r="F334" s="3" t="s">
        <v>754</v>
      </c>
      <c r="G334" s="3">
        <v>70394563</v>
      </c>
      <c r="H334" t="e">
        <f>VLOOKUP(G334,consolidado!$A$2:$B$656,2,FALSE)</f>
        <v>#N/A</v>
      </c>
    </row>
    <row r="335" spans="2:8" ht="17.399999999999999" hidden="1" customHeight="1">
      <c r="B335" s="4">
        <v>333</v>
      </c>
      <c r="C335" s="3" t="s">
        <v>755</v>
      </c>
      <c r="D335" s="3" t="s">
        <v>756</v>
      </c>
      <c r="E335" s="3" t="s">
        <v>126</v>
      </c>
      <c r="F335" s="3" t="s">
        <v>757</v>
      </c>
      <c r="G335" s="3">
        <v>70312109</v>
      </c>
      <c r="H335" t="e">
        <f>VLOOKUP(G335,consolidado!$A$2:$B$656,2,FALSE)</f>
        <v>#N/A</v>
      </c>
    </row>
    <row r="336" spans="2:8" ht="17.399999999999999" hidden="1" customHeight="1">
      <c r="B336" s="4">
        <v>334</v>
      </c>
      <c r="C336" s="3" t="s">
        <v>758</v>
      </c>
      <c r="D336" s="3" t="s">
        <v>759</v>
      </c>
      <c r="E336" s="3" t="s">
        <v>106</v>
      </c>
      <c r="F336" s="3">
        <v>932425236</v>
      </c>
      <c r="G336" s="3">
        <v>42501542</v>
      </c>
      <c r="H336" t="e">
        <f>VLOOKUP(G336,consolidado!$A$2:$B$656,2,FALSE)</f>
        <v>#N/A</v>
      </c>
    </row>
    <row r="337" spans="2:8" ht="17.399999999999999" hidden="1" customHeight="1">
      <c r="B337" s="4">
        <v>335</v>
      </c>
      <c r="C337" s="3" t="s">
        <v>760</v>
      </c>
      <c r="D337" s="3" t="s">
        <v>761</v>
      </c>
      <c r="E337" s="3" t="s">
        <v>718</v>
      </c>
      <c r="F337" s="3" t="s">
        <v>762</v>
      </c>
      <c r="G337" s="3">
        <v>21867380</v>
      </c>
      <c r="H337" t="e">
        <f>VLOOKUP(G337,consolidado!$A$2:$B$656,2,FALSE)</f>
        <v>#N/A</v>
      </c>
    </row>
    <row r="338" spans="2:8" ht="17.399999999999999" hidden="1" customHeight="1">
      <c r="B338" s="4">
        <v>336</v>
      </c>
      <c r="C338" s="3" t="s">
        <v>763</v>
      </c>
      <c r="D338" s="3" t="s">
        <v>764</v>
      </c>
      <c r="E338" s="3" t="s">
        <v>765</v>
      </c>
      <c r="F338" s="3" t="s">
        <v>766</v>
      </c>
      <c r="G338" s="3">
        <v>46956509</v>
      </c>
      <c r="H338" t="e">
        <f>VLOOKUP(G338,consolidado!$A$2:$B$656,2,FALSE)</f>
        <v>#N/A</v>
      </c>
    </row>
    <row r="339" spans="2:8" ht="17.399999999999999" hidden="1" customHeight="1">
      <c r="B339" s="4">
        <v>337</v>
      </c>
      <c r="C339" s="3" t="s">
        <v>767</v>
      </c>
      <c r="D339" s="3" t="s">
        <v>768</v>
      </c>
      <c r="E339" s="3" t="s">
        <v>106</v>
      </c>
      <c r="F339" s="3" t="s">
        <v>769</v>
      </c>
      <c r="G339" s="3">
        <v>72888104</v>
      </c>
      <c r="H339" t="e">
        <f>VLOOKUP(G339,consolidado!$A$2:$B$656,2,FALSE)</f>
        <v>#N/A</v>
      </c>
    </row>
    <row r="340" spans="2:8" ht="17.399999999999999" hidden="1" customHeight="1">
      <c r="B340" s="4">
        <v>338</v>
      </c>
      <c r="C340" s="3" t="s">
        <v>770</v>
      </c>
      <c r="D340" s="3" t="s">
        <v>771</v>
      </c>
      <c r="E340" s="3" t="s">
        <v>22</v>
      </c>
      <c r="F340" s="3">
        <v>956782898</v>
      </c>
      <c r="G340" s="3">
        <v>71787045</v>
      </c>
      <c r="H340" t="e">
        <f>VLOOKUP(G340,consolidado!$A$2:$B$656,2,FALSE)</f>
        <v>#N/A</v>
      </c>
    </row>
    <row r="341" spans="2:8" ht="17.399999999999999" hidden="1" customHeight="1">
      <c r="B341" s="4">
        <v>339</v>
      </c>
      <c r="C341" s="3" t="s">
        <v>772</v>
      </c>
      <c r="D341" s="3" t="s">
        <v>773</v>
      </c>
      <c r="E341" s="3" t="s">
        <v>22</v>
      </c>
      <c r="F341" s="3">
        <v>922101351</v>
      </c>
      <c r="G341" s="3">
        <v>45712101</v>
      </c>
      <c r="H341" t="e">
        <f>VLOOKUP(G341,consolidado!$A$2:$B$656,2,FALSE)</f>
        <v>#N/A</v>
      </c>
    </row>
    <row r="342" spans="2:8" ht="17.399999999999999" hidden="1" customHeight="1">
      <c r="B342" s="4">
        <v>340</v>
      </c>
      <c r="C342" s="3" t="s">
        <v>774</v>
      </c>
      <c r="D342" s="3" t="s">
        <v>775</v>
      </c>
      <c r="E342" s="3" t="s">
        <v>765</v>
      </c>
      <c r="F342" s="3" t="s">
        <v>776</v>
      </c>
      <c r="G342" s="3" t="s">
        <v>777</v>
      </c>
      <c r="H342" t="e">
        <f>VLOOKUP(G342,consolidado!$A$2:$B$656,2,FALSE)</f>
        <v>#N/A</v>
      </c>
    </row>
    <row r="343" spans="2:8" ht="17.399999999999999" hidden="1" customHeight="1">
      <c r="B343" s="4">
        <v>341</v>
      </c>
      <c r="C343" s="3" t="s">
        <v>778</v>
      </c>
      <c r="D343" s="3" t="s">
        <v>779</v>
      </c>
      <c r="E343" s="3" t="s">
        <v>765</v>
      </c>
      <c r="F343" s="1"/>
      <c r="G343" s="3">
        <v>42166322</v>
      </c>
      <c r="H343" t="e">
        <f>VLOOKUP(G343,consolidado!$A$2:$B$656,2,FALSE)</f>
        <v>#N/A</v>
      </c>
    </row>
    <row r="344" spans="2:8" ht="17.399999999999999" hidden="1" customHeight="1">
      <c r="B344" s="4">
        <v>342</v>
      </c>
      <c r="C344" s="3" t="s">
        <v>780</v>
      </c>
      <c r="D344" s="3" t="s">
        <v>781</v>
      </c>
      <c r="E344" s="3" t="s">
        <v>126</v>
      </c>
      <c r="F344" s="3" t="s">
        <v>782</v>
      </c>
      <c r="G344" s="3">
        <v>21863308</v>
      </c>
      <c r="H344" t="e">
        <f>VLOOKUP(G344,consolidado!$A$2:$B$656,2,FALSE)</f>
        <v>#N/A</v>
      </c>
    </row>
    <row r="345" spans="2:8" ht="17.399999999999999" hidden="1" customHeight="1">
      <c r="B345" s="4">
        <v>343</v>
      </c>
      <c r="C345" s="3" t="s">
        <v>783</v>
      </c>
      <c r="D345" s="3" t="s">
        <v>784</v>
      </c>
      <c r="E345" s="3" t="s">
        <v>36</v>
      </c>
      <c r="F345" s="3" t="s">
        <v>785</v>
      </c>
      <c r="G345" s="3">
        <v>41878632</v>
      </c>
      <c r="H345" t="e">
        <f>VLOOKUP(G345,consolidado!$A$2:$B$656,2,FALSE)</f>
        <v>#N/A</v>
      </c>
    </row>
    <row r="346" spans="2:8" ht="17.399999999999999" hidden="1" customHeight="1">
      <c r="B346" s="4">
        <v>344</v>
      </c>
      <c r="C346" s="3" t="s">
        <v>786</v>
      </c>
      <c r="D346" s="3" t="s">
        <v>787</v>
      </c>
      <c r="E346" s="3" t="s">
        <v>126</v>
      </c>
      <c r="F346" s="3">
        <v>934604492</v>
      </c>
      <c r="G346" s="3">
        <v>76033387</v>
      </c>
      <c r="H346" t="e">
        <f>VLOOKUP(G346,consolidado!$A$2:$B$656,2,FALSE)</f>
        <v>#N/A</v>
      </c>
    </row>
    <row r="347" spans="2:8" ht="17.399999999999999" hidden="1" customHeight="1">
      <c r="B347" s="4">
        <v>345</v>
      </c>
      <c r="C347" s="3" t="s">
        <v>788</v>
      </c>
      <c r="D347" s="3" t="s">
        <v>789</v>
      </c>
      <c r="E347" s="3" t="s">
        <v>106</v>
      </c>
      <c r="F347" s="3">
        <v>906144833</v>
      </c>
      <c r="G347" s="3">
        <v>46145068</v>
      </c>
      <c r="H347" t="e">
        <f>VLOOKUP(G347,consolidado!$A$2:$B$656,2,FALSE)</f>
        <v>#N/A</v>
      </c>
    </row>
    <row r="348" spans="2:8" ht="17.399999999999999" hidden="1" customHeight="1">
      <c r="B348" s="4">
        <v>346</v>
      </c>
      <c r="C348" s="3" t="s">
        <v>790</v>
      </c>
      <c r="D348" s="3" t="s">
        <v>791</v>
      </c>
      <c r="E348" s="3" t="s">
        <v>596</v>
      </c>
      <c r="F348" s="3">
        <v>966116387</v>
      </c>
      <c r="G348" s="3">
        <v>71652939</v>
      </c>
      <c r="H348" t="e">
        <f>VLOOKUP(G348,consolidado!$A$2:$B$656,2,FALSE)</f>
        <v>#N/A</v>
      </c>
    </row>
    <row r="349" spans="2:8" ht="17.399999999999999" hidden="1" customHeight="1">
      <c r="B349" s="4">
        <v>347</v>
      </c>
      <c r="C349" s="3" t="s">
        <v>792</v>
      </c>
      <c r="D349" s="3" t="s">
        <v>793</v>
      </c>
      <c r="E349" s="3" t="s">
        <v>5</v>
      </c>
      <c r="F349" s="3">
        <v>997007429</v>
      </c>
      <c r="G349" s="3">
        <v>21849411</v>
      </c>
      <c r="H349" t="e">
        <f>VLOOKUP(G349,consolidado!$A$2:$B$656,2,FALSE)</f>
        <v>#N/A</v>
      </c>
    </row>
    <row r="350" spans="2:8" ht="17.399999999999999" hidden="1" customHeight="1">
      <c r="B350" s="4">
        <v>348</v>
      </c>
      <c r="C350" s="3" t="s">
        <v>794</v>
      </c>
      <c r="D350" s="3" t="s">
        <v>795</v>
      </c>
      <c r="E350" s="3" t="s">
        <v>135</v>
      </c>
      <c r="F350" s="3">
        <v>982856336</v>
      </c>
      <c r="G350" s="3">
        <v>42791418</v>
      </c>
      <c r="H350" t="e">
        <f>VLOOKUP(G350,consolidado!$A$2:$B$656,2,FALSE)</f>
        <v>#N/A</v>
      </c>
    </row>
    <row r="351" spans="2:8" ht="17.399999999999999" hidden="1" customHeight="1">
      <c r="B351" s="4">
        <v>349</v>
      </c>
      <c r="C351" s="3" t="s">
        <v>796</v>
      </c>
      <c r="D351" s="3" t="s">
        <v>797</v>
      </c>
      <c r="E351" s="3" t="s">
        <v>99</v>
      </c>
      <c r="F351" s="3">
        <v>960468616</v>
      </c>
      <c r="G351" s="3">
        <v>45669104</v>
      </c>
      <c r="H351" t="e">
        <f>VLOOKUP(G351,consolidado!$A$2:$B$656,2,FALSE)</f>
        <v>#N/A</v>
      </c>
    </row>
    <row r="352" spans="2:8" ht="17.399999999999999" hidden="1" customHeight="1">
      <c r="B352" s="4">
        <v>350</v>
      </c>
      <c r="C352" s="3" t="s">
        <v>798</v>
      </c>
      <c r="D352" s="3" t="s">
        <v>799</v>
      </c>
      <c r="E352" s="3" t="s">
        <v>126</v>
      </c>
      <c r="F352" s="3" t="s">
        <v>800</v>
      </c>
      <c r="G352" s="3">
        <v>76427502</v>
      </c>
      <c r="H352" t="e">
        <f>VLOOKUP(G352,consolidado!$A$2:$B$656,2,FALSE)</f>
        <v>#N/A</v>
      </c>
    </row>
    <row r="353" spans="2:8" ht="17.399999999999999" hidden="1" customHeight="1">
      <c r="B353" s="4">
        <v>351</v>
      </c>
      <c r="C353" s="3" t="s">
        <v>801</v>
      </c>
      <c r="D353" s="3" t="s">
        <v>802</v>
      </c>
      <c r="E353" s="3" t="s">
        <v>106</v>
      </c>
      <c r="F353" s="3">
        <v>942635751</v>
      </c>
      <c r="G353" s="3">
        <v>45751439</v>
      </c>
      <c r="H353" t="e">
        <f>VLOOKUP(G353,consolidado!$A$2:$B$656,2,FALSE)</f>
        <v>#N/A</v>
      </c>
    </row>
    <row r="354" spans="2:8" ht="17.399999999999999" hidden="1" customHeight="1">
      <c r="B354" s="4">
        <v>352</v>
      </c>
      <c r="C354" s="3" t="s">
        <v>803</v>
      </c>
      <c r="D354" s="3" t="s">
        <v>804</v>
      </c>
      <c r="E354" s="3" t="s">
        <v>36</v>
      </c>
      <c r="F354" s="3">
        <v>977321025</v>
      </c>
      <c r="G354" s="3">
        <v>47259336</v>
      </c>
      <c r="H354" t="e">
        <f>VLOOKUP(G354,consolidado!$A$2:$B$656,2,FALSE)</f>
        <v>#N/A</v>
      </c>
    </row>
    <row r="355" spans="2:8" ht="17.399999999999999" hidden="1" customHeight="1">
      <c r="B355" s="4">
        <v>354</v>
      </c>
      <c r="C355" s="3" t="s">
        <v>805</v>
      </c>
      <c r="D355" s="3" t="s">
        <v>806</v>
      </c>
      <c r="E355" s="3" t="s">
        <v>718</v>
      </c>
      <c r="F355" s="3">
        <v>974458138</v>
      </c>
      <c r="G355" s="3">
        <v>46237598</v>
      </c>
      <c r="H355" t="e">
        <f>VLOOKUP(G355,consolidado!$A$2:$B$656,2,FALSE)</f>
        <v>#N/A</v>
      </c>
    </row>
    <row r="356" spans="2:8" ht="17.399999999999999" hidden="1" customHeight="1">
      <c r="B356" s="4">
        <v>355</v>
      </c>
      <c r="C356" s="3" t="s">
        <v>807</v>
      </c>
      <c r="D356" s="3" t="s">
        <v>808</v>
      </c>
      <c r="E356" s="3" t="s">
        <v>99</v>
      </c>
      <c r="F356" s="3">
        <v>989975830</v>
      </c>
      <c r="G356" s="3">
        <v>43780022</v>
      </c>
      <c r="H356" t="e">
        <f>VLOOKUP(G356,consolidado!$A$2:$B$656,2,FALSE)</f>
        <v>#N/A</v>
      </c>
    </row>
    <row r="357" spans="2:8" ht="17.399999999999999" hidden="1" customHeight="1">
      <c r="B357" s="4">
        <v>356</v>
      </c>
      <c r="C357" s="3" t="s">
        <v>809</v>
      </c>
      <c r="D357" s="3" t="s">
        <v>810</v>
      </c>
      <c r="E357" s="3" t="s">
        <v>2</v>
      </c>
      <c r="F357" s="3" t="s">
        <v>811</v>
      </c>
      <c r="G357" s="3">
        <v>42023932</v>
      </c>
      <c r="H357" t="e">
        <f>VLOOKUP(G357,consolidado!$A$2:$B$656,2,FALSE)</f>
        <v>#N/A</v>
      </c>
    </row>
    <row r="358" spans="2:8" ht="17.399999999999999" hidden="1" customHeight="1">
      <c r="B358" s="4">
        <v>357</v>
      </c>
      <c r="C358" s="3" t="s">
        <v>812</v>
      </c>
      <c r="D358" s="3" t="s">
        <v>813</v>
      </c>
      <c r="E358" s="3" t="s">
        <v>71</v>
      </c>
      <c r="F358" s="3">
        <v>974341388</v>
      </c>
      <c r="G358" s="3">
        <v>74151769</v>
      </c>
      <c r="H358" t="e">
        <f>VLOOKUP(G358,consolidado!$A$2:$B$656,2,FALSE)</f>
        <v>#N/A</v>
      </c>
    </row>
    <row r="359" spans="2:8" ht="17.399999999999999" hidden="1" customHeight="1">
      <c r="B359" s="4">
        <v>358</v>
      </c>
      <c r="C359" s="3" t="s">
        <v>814</v>
      </c>
      <c r="D359" s="3" t="s">
        <v>815</v>
      </c>
      <c r="E359" s="3" t="s">
        <v>36</v>
      </c>
      <c r="F359" s="3" t="s">
        <v>816</v>
      </c>
      <c r="G359" s="3">
        <v>70482572</v>
      </c>
      <c r="H359" t="e">
        <f>VLOOKUP(G359,consolidado!$A$2:$B$656,2,FALSE)</f>
        <v>#N/A</v>
      </c>
    </row>
    <row r="360" spans="2:8" ht="17.399999999999999" customHeight="1">
      <c r="B360" s="4">
        <v>359</v>
      </c>
      <c r="C360" s="3" t="s">
        <v>817</v>
      </c>
      <c r="D360" s="3" t="s">
        <v>818</v>
      </c>
      <c r="E360" s="3" t="s">
        <v>710</v>
      </c>
      <c r="F360" s="3">
        <v>939110955</v>
      </c>
      <c r="G360" s="3">
        <v>41004962</v>
      </c>
      <c r="H360" t="e">
        <f>VLOOKUP(G360,consolidado!$A$2:$B$656,2,FALSE)</f>
        <v>#N/A</v>
      </c>
    </row>
    <row r="361" spans="2:8" ht="17.399999999999999" hidden="1" customHeight="1">
      <c r="B361" s="4">
        <v>360</v>
      </c>
      <c r="C361" s="3" t="s">
        <v>819</v>
      </c>
      <c r="D361" s="3" t="s">
        <v>820</v>
      </c>
      <c r="E361" s="3" t="s">
        <v>230</v>
      </c>
      <c r="F361" s="3" t="s">
        <v>821</v>
      </c>
      <c r="G361" s="3">
        <v>71615898</v>
      </c>
      <c r="H361" t="e">
        <f>VLOOKUP(G361,consolidado!$A$2:$B$656,2,FALSE)</f>
        <v>#N/A</v>
      </c>
    </row>
    <row r="362" spans="2:8" ht="17.399999999999999" hidden="1" customHeight="1">
      <c r="B362" s="4">
        <v>361</v>
      </c>
      <c r="C362" s="3" t="s">
        <v>822</v>
      </c>
      <c r="D362" s="3" t="s">
        <v>823</v>
      </c>
      <c r="E362" s="3" t="s">
        <v>27</v>
      </c>
      <c r="F362" s="3">
        <v>922397715</v>
      </c>
      <c r="G362" s="3">
        <v>43510116</v>
      </c>
      <c r="H362" t="e">
        <f>VLOOKUP(G362,consolidado!$A$2:$B$656,2,FALSE)</f>
        <v>#N/A</v>
      </c>
    </row>
    <row r="363" spans="2:8" ht="17.399999999999999" hidden="1" customHeight="1">
      <c r="B363" s="4">
        <v>362</v>
      </c>
      <c r="C363" s="3" t="s">
        <v>824</v>
      </c>
      <c r="D363" s="3" t="s">
        <v>825</v>
      </c>
      <c r="E363" s="3" t="s">
        <v>14</v>
      </c>
      <c r="F363" s="3">
        <v>921083607</v>
      </c>
      <c r="G363" s="3">
        <v>74841780</v>
      </c>
      <c r="H363" t="e">
        <f>VLOOKUP(G363,consolidado!$A$2:$B$656,2,FALSE)</f>
        <v>#N/A</v>
      </c>
    </row>
    <row r="364" spans="2:8" ht="17.399999999999999" hidden="1" customHeight="1">
      <c r="B364" s="4">
        <v>363</v>
      </c>
      <c r="C364" s="3" t="s">
        <v>826</v>
      </c>
      <c r="D364" s="3" t="s">
        <v>827</v>
      </c>
      <c r="E364" s="3" t="s">
        <v>22</v>
      </c>
      <c r="F364" s="3" t="s">
        <v>828</v>
      </c>
      <c r="G364" s="3">
        <v>15359608</v>
      </c>
      <c r="H364" t="e">
        <f>VLOOKUP(G364,consolidado!$A$2:$B$656,2,FALSE)</f>
        <v>#N/A</v>
      </c>
    </row>
    <row r="365" spans="2:8" ht="17.399999999999999" hidden="1" customHeight="1">
      <c r="B365" s="4">
        <v>364</v>
      </c>
      <c r="C365" s="3" t="s">
        <v>829</v>
      </c>
      <c r="D365" s="3" t="s">
        <v>830</v>
      </c>
      <c r="E365" s="3" t="s">
        <v>22</v>
      </c>
      <c r="F365" s="3" t="s">
        <v>831</v>
      </c>
      <c r="G365" s="3">
        <v>73262665</v>
      </c>
      <c r="H365" t="e">
        <f>VLOOKUP(G365,consolidado!$A$2:$B$656,2,FALSE)</f>
        <v>#N/A</v>
      </c>
    </row>
    <row r="366" spans="2:8" ht="17.399999999999999" hidden="1" customHeight="1">
      <c r="B366" s="4">
        <v>365</v>
      </c>
      <c r="C366" s="3" t="s">
        <v>832</v>
      </c>
      <c r="D366" s="3" t="s">
        <v>833</v>
      </c>
      <c r="E366" s="3" t="s">
        <v>5</v>
      </c>
      <c r="F366" s="3" t="s">
        <v>834</v>
      </c>
      <c r="G366" s="3">
        <v>21847790</v>
      </c>
      <c r="H366" t="e">
        <f>VLOOKUP(G366,consolidado!$A$2:$B$656,2,FALSE)</f>
        <v>#N/A</v>
      </c>
    </row>
    <row r="367" spans="2:8" ht="17.399999999999999" hidden="1" customHeight="1">
      <c r="B367" s="4">
        <v>366</v>
      </c>
      <c r="C367" s="3" t="s">
        <v>835</v>
      </c>
      <c r="D367" s="3" t="s">
        <v>836</v>
      </c>
      <c r="E367" s="3" t="s">
        <v>230</v>
      </c>
      <c r="F367" s="3">
        <v>956646869</v>
      </c>
      <c r="G367" s="3">
        <v>45900579</v>
      </c>
      <c r="H367" t="e">
        <f>VLOOKUP(G367,consolidado!$A$2:$B$656,2,FALSE)</f>
        <v>#N/A</v>
      </c>
    </row>
    <row r="368" spans="2:8" ht="17.399999999999999" hidden="1" customHeight="1">
      <c r="B368" s="4">
        <v>367</v>
      </c>
      <c r="C368" s="3" t="s">
        <v>837</v>
      </c>
      <c r="D368" s="3" t="s">
        <v>838</v>
      </c>
      <c r="E368" s="3" t="s">
        <v>718</v>
      </c>
      <c r="F368" s="3">
        <v>922306155</v>
      </c>
      <c r="G368" s="3">
        <v>74684837</v>
      </c>
      <c r="H368" t="e">
        <f>VLOOKUP(G368,consolidado!$A$2:$B$656,2,FALSE)</f>
        <v>#N/A</v>
      </c>
    </row>
    <row r="369" spans="2:8" ht="17.399999999999999" hidden="1" customHeight="1">
      <c r="B369" s="4">
        <v>368</v>
      </c>
      <c r="C369" s="3" t="s">
        <v>839</v>
      </c>
      <c r="D369" s="3" t="s">
        <v>840</v>
      </c>
      <c r="E369" s="3" t="s">
        <v>718</v>
      </c>
      <c r="F369" s="3">
        <v>934325672</v>
      </c>
      <c r="G369" s="3">
        <v>29714569</v>
      </c>
      <c r="H369" t="e">
        <f>VLOOKUP(G369,consolidado!$A$2:$B$656,2,FALSE)</f>
        <v>#N/A</v>
      </c>
    </row>
    <row r="370" spans="2:8" ht="17.399999999999999" hidden="1" customHeight="1">
      <c r="B370" s="4">
        <v>369</v>
      </c>
      <c r="C370" s="3" t="s">
        <v>841</v>
      </c>
      <c r="D370" s="3" t="s">
        <v>842</v>
      </c>
      <c r="E370" s="3" t="s">
        <v>710</v>
      </c>
      <c r="F370" s="3" t="s">
        <v>843</v>
      </c>
      <c r="G370" s="3">
        <v>41872411</v>
      </c>
      <c r="H370" t="e">
        <f>VLOOKUP(G370,consolidado!$A$2:$B$656,2,FALSE)</f>
        <v>#N/A</v>
      </c>
    </row>
    <row r="371" spans="2:8" ht="17.399999999999999" hidden="1" customHeight="1">
      <c r="B371" s="4">
        <v>370</v>
      </c>
      <c r="C371" s="3" t="s">
        <v>844</v>
      </c>
      <c r="D371" s="3" t="s">
        <v>845</v>
      </c>
      <c r="E371" s="3" t="s">
        <v>846</v>
      </c>
      <c r="F371" s="3">
        <v>912405510</v>
      </c>
      <c r="G371" s="3">
        <v>74684828</v>
      </c>
      <c r="H371" t="e">
        <f>VLOOKUP(G371,consolidado!$A$2:$B$656,2,FALSE)</f>
        <v>#N/A</v>
      </c>
    </row>
    <row r="372" spans="2:8" ht="17.399999999999999" hidden="1" customHeight="1">
      <c r="B372" s="4">
        <v>371</v>
      </c>
      <c r="C372" s="3" t="s">
        <v>847</v>
      </c>
      <c r="D372" s="3" t="s">
        <v>848</v>
      </c>
      <c r="E372" s="3" t="s">
        <v>22</v>
      </c>
      <c r="F372" s="3" t="s">
        <v>849</v>
      </c>
      <c r="G372" s="3">
        <v>48591427</v>
      </c>
      <c r="H372" t="e">
        <f>VLOOKUP(G372,consolidado!$A$2:$B$656,2,FALSE)</f>
        <v>#N/A</v>
      </c>
    </row>
    <row r="373" spans="2:8" ht="17.399999999999999" hidden="1" customHeight="1">
      <c r="B373" s="4">
        <v>372</v>
      </c>
      <c r="C373" s="3" t="s">
        <v>850</v>
      </c>
      <c r="D373" s="3" t="s">
        <v>851</v>
      </c>
      <c r="E373" s="3" t="s">
        <v>846</v>
      </c>
      <c r="F373" s="3" t="s">
        <v>852</v>
      </c>
      <c r="G373" s="3">
        <v>40461640</v>
      </c>
      <c r="H373" t="e">
        <f>VLOOKUP(G373,consolidado!$A$2:$B$656,2,FALSE)</f>
        <v>#N/A</v>
      </c>
    </row>
    <row r="374" spans="2:8" ht="17.399999999999999" hidden="1" customHeight="1">
      <c r="B374" s="4">
        <v>373</v>
      </c>
      <c r="C374" s="3" t="s">
        <v>853</v>
      </c>
      <c r="D374" s="3" t="s">
        <v>854</v>
      </c>
      <c r="E374" s="3" t="s">
        <v>846</v>
      </c>
      <c r="F374" s="3">
        <v>910942498</v>
      </c>
      <c r="G374" s="3">
        <v>21859181</v>
      </c>
      <c r="H374" t="e">
        <f>VLOOKUP(G374,consolidado!$A$2:$B$656,2,FALSE)</f>
        <v>#N/A</v>
      </c>
    </row>
    <row r="375" spans="2:8" ht="17.399999999999999" hidden="1" customHeight="1">
      <c r="B375" s="4">
        <v>374</v>
      </c>
      <c r="C375" s="3" t="s">
        <v>855</v>
      </c>
      <c r="D375" s="3" t="s">
        <v>856</v>
      </c>
      <c r="E375" s="3" t="s">
        <v>765</v>
      </c>
      <c r="F375" s="3" t="s">
        <v>857</v>
      </c>
      <c r="G375" s="3">
        <v>43550706</v>
      </c>
      <c r="H375" t="e">
        <f>VLOOKUP(G375,consolidado!$A$2:$B$656,2,FALSE)</f>
        <v>#N/A</v>
      </c>
    </row>
    <row r="376" spans="2:8" ht="17.399999999999999" hidden="1" customHeight="1">
      <c r="B376" s="4">
        <v>375</v>
      </c>
      <c r="C376" s="3" t="s">
        <v>858</v>
      </c>
      <c r="D376" s="3" t="s">
        <v>859</v>
      </c>
      <c r="E376" s="3" t="s">
        <v>99</v>
      </c>
      <c r="F376" s="3" t="s">
        <v>860</v>
      </c>
      <c r="G376" s="3">
        <v>21881200</v>
      </c>
      <c r="H376" t="e">
        <f>VLOOKUP(G376,consolidado!$A$2:$B$656,2,FALSE)</f>
        <v>#N/A</v>
      </c>
    </row>
    <row r="377" spans="2:8" ht="17.399999999999999" hidden="1" customHeight="1">
      <c r="B377" s="4">
        <v>376</v>
      </c>
      <c r="C377" s="3" t="s">
        <v>861</v>
      </c>
      <c r="D377" s="3" t="s">
        <v>862</v>
      </c>
      <c r="E377" s="3" t="s">
        <v>126</v>
      </c>
      <c r="F377" s="3">
        <v>907063071</v>
      </c>
      <c r="G377" s="3">
        <v>75187066</v>
      </c>
      <c r="H377" t="e">
        <f>VLOOKUP(G377,consolidado!$A$2:$B$656,2,FALSE)</f>
        <v>#N/A</v>
      </c>
    </row>
    <row r="378" spans="2:8" ht="17.399999999999999" hidden="1" customHeight="1">
      <c r="B378" s="4">
        <v>377</v>
      </c>
      <c r="C378" s="3" t="s">
        <v>863</v>
      </c>
      <c r="D378" s="3" t="s">
        <v>864</v>
      </c>
      <c r="E378" s="3" t="s">
        <v>765</v>
      </c>
      <c r="F378" s="3" t="s">
        <v>865</v>
      </c>
      <c r="G378" s="3">
        <v>21878192</v>
      </c>
      <c r="H378" t="e">
        <f>VLOOKUP(G378,consolidado!$A$2:$B$656,2,FALSE)</f>
        <v>#N/A</v>
      </c>
    </row>
    <row r="379" spans="2:8" ht="17.399999999999999" hidden="1" customHeight="1">
      <c r="B379" s="4">
        <v>378</v>
      </c>
      <c r="C379" s="3" t="s">
        <v>866</v>
      </c>
      <c r="D379" s="3" t="s">
        <v>867</v>
      </c>
      <c r="E379" s="3" t="s">
        <v>846</v>
      </c>
      <c r="F379" s="3" t="s">
        <v>868</v>
      </c>
      <c r="G379" s="3">
        <v>45106081</v>
      </c>
      <c r="H379" t="e">
        <f>VLOOKUP(G379,consolidado!$A$2:$B$656,2,FALSE)</f>
        <v>#N/A</v>
      </c>
    </row>
    <row r="380" spans="2:8" ht="17.399999999999999" hidden="1" customHeight="1">
      <c r="B380" s="4">
        <v>379</v>
      </c>
      <c r="C380" s="3" t="s">
        <v>869</v>
      </c>
      <c r="D380" s="3" t="s">
        <v>870</v>
      </c>
      <c r="E380" s="3" t="s">
        <v>230</v>
      </c>
      <c r="F380" s="3">
        <v>937253910</v>
      </c>
      <c r="G380" s="3">
        <v>72857031</v>
      </c>
      <c r="H380" t="e">
        <f>VLOOKUP(G380,consolidado!$A$2:$B$656,2,FALSE)</f>
        <v>#N/A</v>
      </c>
    </row>
    <row r="381" spans="2:8" ht="17.399999999999999" hidden="1" customHeight="1">
      <c r="B381" s="4">
        <v>380</v>
      </c>
      <c r="C381" s="3" t="s">
        <v>871</v>
      </c>
      <c r="D381" s="3" t="s">
        <v>872</v>
      </c>
      <c r="E381" s="3" t="s">
        <v>11</v>
      </c>
      <c r="F381" s="3">
        <v>922424182</v>
      </c>
      <c r="G381" s="3">
        <v>46614328</v>
      </c>
      <c r="H381" t="e">
        <f>VLOOKUP(G381,consolidado!$A$2:$B$656,2,FALSE)</f>
        <v>#N/A</v>
      </c>
    </row>
    <row r="382" spans="2:8" ht="17.399999999999999" hidden="1" customHeight="1">
      <c r="B382" s="4">
        <v>381</v>
      </c>
      <c r="C382" s="3" t="s">
        <v>873</v>
      </c>
      <c r="D382" s="3" t="s">
        <v>874</v>
      </c>
      <c r="E382" s="3" t="s">
        <v>8</v>
      </c>
      <c r="F382" s="3">
        <v>957783182</v>
      </c>
      <c r="G382" s="3">
        <v>42433139</v>
      </c>
      <c r="H382" t="e">
        <f>VLOOKUP(G382,consolidado!$A$2:$B$656,2,FALSE)</f>
        <v>#N/A</v>
      </c>
    </row>
    <row r="383" spans="2:8" ht="17.399999999999999" hidden="1" customHeight="1">
      <c r="B383" s="4">
        <v>382</v>
      </c>
      <c r="C383" s="3" t="s">
        <v>875</v>
      </c>
      <c r="D383" s="3" t="s">
        <v>876</v>
      </c>
      <c r="E383" s="3" t="s">
        <v>846</v>
      </c>
      <c r="F383" s="3" t="s">
        <v>877</v>
      </c>
      <c r="G383" s="3">
        <v>21881638</v>
      </c>
      <c r="H383" t="e">
        <f>VLOOKUP(G383,consolidado!$A$2:$B$656,2,FALSE)</f>
        <v>#N/A</v>
      </c>
    </row>
    <row r="384" spans="2:8" ht="17.399999999999999" hidden="1" customHeight="1">
      <c r="B384" s="4">
        <v>383</v>
      </c>
      <c r="C384" s="3" t="s">
        <v>878</v>
      </c>
      <c r="D384" s="3" t="s">
        <v>879</v>
      </c>
      <c r="E384" s="3" t="s">
        <v>19</v>
      </c>
      <c r="F384" s="3">
        <v>967775894</v>
      </c>
      <c r="G384" s="3">
        <v>21811821</v>
      </c>
      <c r="H384" t="e">
        <f>VLOOKUP(G384,consolidado!$A$2:$B$656,2,FALSE)</f>
        <v>#N/A</v>
      </c>
    </row>
    <row r="385" spans="2:8" ht="17.399999999999999" hidden="1" customHeight="1">
      <c r="B385" s="4">
        <v>384</v>
      </c>
      <c r="C385" s="3" t="s">
        <v>880</v>
      </c>
      <c r="D385" s="3" t="s">
        <v>881</v>
      </c>
      <c r="E385" s="3" t="s">
        <v>126</v>
      </c>
      <c r="F385" s="3">
        <v>913598494</v>
      </c>
      <c r="G385" s="3">
        <v>44545567</v>
      </c>
      <c r="H385" t="e">
        <f>VLOOKUP(G385,consolidado!$A$2:$B$656,2,FALSE)</f>
        <v>#N/A</v>
      </c>
    </row>
    <row r="386" spans="2:8" ht="17.399999999999999" hidden="1" customHeight="1">
      <c r="B386" s="4">
        <v>385</v>
      </c>
      <c r="C386" s="3" t="s">
        <v>882</v>
      </c>
      <c r="D386" s="3" t="s">
        <v>883</v>
      </c>
      <c r="E386" s="3" t="s">
        <v>126</v>
      </c>
      <c r="F386" s="3">
        <v>904659396</v>
      </c>
      <c r="G386" s="3">
        <v>74866616</v>
      </c>
      <c r="H386" t="e">
        <f>VLOOKUP(G386,consolidado!$A$2:$B$656,2,FALSE)</f>
        <v>#N/A</v>
      </c>
    </row>
    <row r="387" spans="2:8" ht="17.399999999999999" hidden="1" customHeight="1">
      <c r="B387" s="4">
        <v>386</v>
      </c>
      <c r="C387" s="3" t="s">
        <v>884</v>
      </c>
      <c r="D387" s="3" t="s">
        <v>885</v>
      </c>
      <c r="E387" s="3" t="s">
        <v>334</v>
      </c>
      <c r="F387" s="3">
        <v>946151376</v>
      </c>
      <c r="G387" s="3">
        <v>75832428</v>
      </c>
      <c r="H387" t="e">
        <f>VLOOKUP(G387,consolidado!$A$2:$B$656,2,FALSE)</f>
        <v>#N/A</v>
      </c>
    </row>
    <row r="388" spans="2:8" ht="17.399999999999999" hidden="1" customHeight="1">
      <c r="B388" s="4">
        <v>387</v>
      </c>
      <c r="C388" s="3" t="s">
        <v>886</v>
      </c>
      <c r="D388" s="3" t="s">
        <v>887</v>
      </c>
      <c r="E388" s="3" t="s">
        <v>846</v>
      </c>
      <c r="F388" s="3" t="s">
        <v>888</v>
      </c>
      <c r="G388" s="3">
        <v>44533511</v>
      </c>
      <c r="H388" t="e">
        <f>VLOOKUP(G388,consolidado!$A$2:$B$656,2,FALSE)</f>
        <v>#N/A</v>
      </c>
    </row>
    <row r="389" spans="2:8" ht="17.399999999999999" hidden="1" customHeight="1">
      <c r="B389" s="4">
        <v>388</v>
      </c>
      <c r="C389" s="3" t="s">
        <v>889</v>
      </c>
      <c r="D389" s="3" t="s">
        <v>890</v>
      </c>
      <c r="E389" s="3" t="s">
        <v>846</v>
      </c>
      <c r="F389" s="3">
        <v>976317985</v>
      </c>
      <c r="G389" s="3">
        <v>45200940</v>
      </c>
      <c r="H389" t="e">
        <f>VLOOKUP(G389,consolidado!$A$2:$B$656,2,FALSE)</f>
        <v>#N/A</v>
      </c>
    </row>
    <row r="390" spans="2:8" ht="17.399999999999999" hidden="1" customHeight="1">
      <c r="B390" s="4">
        <v>389</v>
      </c>
      <c r="C390" s="3" t="s">
        <v>891</v>
      </c>
      <c r="D390" s="3" t="s">
        <v>892</v>
      </c>
      <c r="E390" s="3" t="s">
        <v>22</v>
      </c>
      <c r="F390" s="3">
        <v>981295133</v>
      </c>
      <c r="G390" s="3">
        <v>15359111</v>
      </c>
      <c r="H390" t="e">
        <f>VLOOKUP(G390,consolidado!$A$2:$B$656,2,FALSE)</f>
        <v>#N/A</v>
      </c>
    </row>
    <row r="391" spans="2:8" ht="17.399999999999999" hidden="1" customHeight="1">
      <c r="B391" s="4">
        <v>390</v>
      </c>
      <c r="C391" s="3" t="s">
        <v>893</v>
      </c>
      <c r="D391" s="3" t="s">
        <v>894</v>
      </c>
      <c r="E391" s="3" t="s">
        <v>8</v>
      </c>
      <c r="F391" s="3" t="s">
        <v>895</v>
      </c>
      <c r="G391" s="3">
        <v>47501937</v>
      </c>
      <c r="H391" t="e">
        <f>VLOOKUP(G391,consolidado!$A$2:$B$656,2,FALSE)</f>
        <v>#N/A</v>
      </c>
    </row>
    <row r="392" spans="2:8" ht="17.399999999999999" hidden="1" customHeight="1">
      <c r="B392" s="4">
        <v>391</v>
      </c>
      <c r="C392" s="3" t="s">
        <v>896</v>
      </c>
      <c r="D392" s="3" t="s">
        <v>808</v>
      </c>
      <c r="E392" s="3" t="s">
        <v>99</v>
      </c>
      <c r="F392" s="3" t="s">
        <v>897</v>
      </c>
      <c r="G392" s="3">
        <v>43780022</v>
      </c>
      <c r="H392" t="e">
        <f>VLOOKUP(G392,consolidado!$A$2:$B$656,2,FALSE)</f>
        <v>#N/A</v>
      </c>
    </row>
    <row r="393" spans="2:8" ht="17.399999999999999" hidden="1" customHeight="1">
      <c r="B393" s="4">
        <v>392</v>
      </c>
      <c r="C393" s="3" t="s">
        <v>898</v>
      </c>
      <c r="D393" s="3" t="s">
        <v>899</v>
      </c>
      <c r="E393" s="3" t="s">
        <v>2</v>
      </c>
      <c r="F393" s="3">
        <v>950579561</v>
      </c>
      <c r="G393" s="3">
        <v>32135963</v>
      </c>
      <c r="H393" t="e">
        <f>VLOOKUP(G393,consolidado!$A$2:$B$656,2,FALSE)</f>
        <v>#N/A</v>
      </c>
    </row>
    <row r="394" spans="2:8" ht="17.399999999999999" hidden="1" customHeight="1">
      <c r="B394" s="4">
        <v>393</v>
      </c>
      <c r="C394" s="3" t="s">
        <v>900</v>
      </c>
      <c r="D394" s="3" t="s">
        <v>901</v>
      </c>
      <c r="E394" s="3" t="s">
        <v>846</v>
      </c>
      <c r="F394" s="3" t="s">
        <v>902</v>
      </c>
      <c r="G394" s="3">
        <v>43610105</v>
      </c>
      <c r="H394" t="e">
        <f>VLOOKUP(G394,consolidado!$A$2:$B$656,2,FALSE)</f>
        <v>#N/A</v>
      </c>
    </row>
    <row r="395" spans="2:8" ht="17.399999999999999" hidden="1" customHeight="1">
      <c r="B395" s="4">
        <v>394</v>
      </c>
      <c r="C395" s="3" t="s">
        <v>903</v>
      </c>
      <c r="D395" s="3" t="s">
        <v>904</v>
      </c>
      <c r="E395" s="3" t="s">
        <v>846</v>
      </c>
      <c r="F395" s="3">
        <v>936436485</v>
      </c>
      <c r="G395" s="3">
        <v>21813235</v>
      </c>
      <c r="H395" t="e">
        <f>VLOOKUP(G395,consolidado!$A$2:$B$656,2,FALSE)</f>
        <v>#N/A</v>
      </c>
    </row>
    <row r="396" spans="2:8" ht="17.399999999999999" hidden="1" customHeight="1">
      <c r="B396" s="4">
        <v>395</v>
      </c>
      <c r="C396" s="3" t="s">
        <v>905</v>
      </c>
      <c r="D396" s="3" t="s">
        <v>906</v>
      </c>
      <c r="E396" s="3" t="s">
        <v>846</v>
      </c>
      <c r="F396" s="3">
        <v>997128856</v>
      </c>
      <c r="G396" s="3">
        <v>43718176</v>
      </c>
      <c r="H396" t="e">
        <f>VLOOKUP(G396,consolidado!$A$2:$B$656,2,FALSE)</f>
        <v>#N/A</v>
      </c>
    </row>
    <row r="397" spans="2:8" ht="17.399999999999999" hidden="1" customHeight="1">
      <c r="B397" s="4">
        <v>396</v>
      </c>
      <c r="C397" s="3" t="s">
        <v>907</v>
      </c>
      <c r="D397" s="3" t="s">
        <v>908</v>
      </c>
      <c r="E397" s="3" t="s">
        <v>846</v>
      </c>
      <c r="F397" s="3" t="s">
        <v>909</v>
      </c>
      <c r="G397" s="3">
        <v>21810864</v>
      </c>
      <c r="H397" t="e">
        <f>VLOOKUP(G397,consolidado!$A$2:$B$656,2,FALSE)</f>
        <v>#N/A</v>
      </c>
    </row>
    <row r="398" spans="2:8" ht="17.399999999999999" hidden="1" customHeight="1">
      <c r="B398" s="4">
        <v>397</v>
      </c>
      <c r="C398" s="3" t="s">
        <v>910</v>
      </c>
      <c r="D398" s="3" t="s">
        <v>911</v>
      </c>
      <c r="E398" s="3" t="s">
        <v>718</v>
      </c>
      <c r="F398" s="3">
        <v>997923269</v>
      </c>
      <c r="G398" s="3">
        <v>75667436</v>
      </c>
      <c r="H398" t="e">
        <f>VLOOKUP(G398,consolidado!$A$2:$B$656,2,FALSE)</f>
        <v>#N/A</v>
      </c>
    </row>
    <row r="399" spans="2:8" ht="17.399999999999999" hidden="1" customHeight="1">
      <c r="B399" s="4">
        <v>398</v>
      </c>
      <c r="C399" s="3" t="s">
        <v>912</v>
      </c>
      <c r="D399" s="3" t="s">
        <v>913</v>
      </c>
      <c r="E399" s="3" t="s">
        <v>135</v>
      </c>
      <c r="F399" s="3">
        <v>989357193</v>
      </c>
      <c r="G399" s="3">
        <v>45725093</v>
      </c>
      <c r="H399" t="e">
        <f>VLOOKUP(G399,consolidado!$A$2:$B$656,2,FALSE)</f>
        <v>#N/A</v>
      </c>
    </row>
    <row r="400" spans="2:8" ht="17.399999999999999" hidden="1" customHeight="1">
      <c r="B400" s="4">
        <v>399</v>
      </c>
      <c r="C400" s="3" t="s">
        <v>914</v>
      </c>
      <c r="D400" s="3" t="s">
        <v>915</v>
      </c>
      <c r="E400" s="3" t="s">
        <v>90</v>
      </c>
      <c r="F400" s="3" t="s">
        <v>916</v>
      </c>
      <c r="G400" s="3">
        <v>73211691</v>
      </c>
      <c r="H400" t="e">
        <f>VLOOKUP(G400,consolidado!$A$2:$B$656,2,FALSE)</f>
        <v>#N/A</v>
      </c>
    </row>
    <row r="401" spans="2:8" ht="17.399999999999999" customHeight="1">
      <c r="B401" s="4">
        <v>400</v>
      </c>
      <c r="C401" s="3" t="s">
        <v>917</v>
      </c>
      <c r="D401" s="3" t="s">
        <v>918</v>
      </c>
      <c r="E401" s="3" t="s">
        <v>230</v>
      </c>
      <c r="F401" s="3">
        <v>942608827</v>
      </c>
      <c r="G401" s="3">
        <v>20147673478</v>
      </c>
      <c r="H401" t="e">
        <f>VLOOKUP(G401,consolidado!$A$2:$B$656,2,FALSE)</f>
        <v>#N/A</v>
      </c>
    </row>
    <row r="402" spans="2:8" ht="17.399999999999999" hidden="1" customHeight="1">
      <c r="B402" s="4">
        <v>401</v>
      </c>
      <c r="C402" s="3" t="s">
        <v>919</v>
      </c>
      <c r="D402" s="3" t="s">
        <v>920</v>
      </c>
      <c r="E402" s="3" t="s">
        <v>596</v>
      </c>
      <c r="F402" s="3">
        <v>924594304</v>
      </c>
      <c r="G402" s="3">
        <v>72517098</v>
      </c>
      <c r="H402" t="e">
        <f>VLOOKUP(G402,consolidado!$A$2:$B$656,2,FALSE)</f>
        <v>#N/A</v>
      </c>
    </row>
    <row r="403" spans="2:8" ht="17.399999999999999" hidden="1" customHeight="1">
      <c r="B403" s="4">
        <v>402</v>
      </c>
      <c r="C403" s="3" t="s">
        <v>921</v>
      </c>
      <c r="D403" s="3" t="s">
        <v>922</v>
      </c>
      <c r="E403" s="3" t="s">
        <v>126</v>
      </c>
      <c r="F403" s="3">
        <v>903045849</v>
      </c>
      <c r="G403" s="3">
        <v>44591663</v>
      </c>
      <c r="H403" t="e">
        <f>VLOOKUP(G403,consolidado!$A$2:$B$656,2,FALSE)</f>
        <v>#N/A</v>
      </c>
    </row>
    <row r="404" spans="2:8" ht="17.399999999999999" hidden="1" customHeight="1">
      <c r="B404" s="4">
        <v>403</v>
      </c>
      <c r="C404" s="3" t="s">
        <v>923</v>
      </c>
      <c r="D404" s="3" t="s">
        <v>924</v>
      </c>
      <c r="E404" s="3" t="s">
        <v>22</v>
      </c>
      <c r="F404" s="3" t="s">
        <v>925</v>
      </c>
      <c r="G404" s="3">
        <v>21879894</v>
      </c>
      <c r="H404" t="e">
        <f>VLOOKUP(G404,consolidado!$A$2:$B$656,2,FALSE)</f>
        <v>#N/A</v>
      </c>
    </row>
    <row r="405" spans="2:8" ht="17.399999999999999" hidden="1" customHeight="1">
      <c r="B405" s="4">
        <v>404</v>
      </c>
      <c r="C405" s="3" t="s">
        <v>926</v>
      </c>
      <c r="D405" s="3" t="s">
        <v>927</v>
      </c>
      <c r="E405" s="3" t="s">
        <v>718</v>
      </c>
      <c r="F405" s="3">
        <v>986233200</v>
      </c>
      <c r="G405" s="3">
        <v>73102201</v>
      </c>
      <c r="H405" t="e">
        <f>VLOOKUP(G405,consolidado!$A$2:$B$656,2,FALSE)</f>
        <v>#N/A</v>
      </c>
    </row>
    <row r="406" spans="2:8" ht="17.399999999999999" hidden="1" customHeight="1">
      <c r="B406" s="4">
        <v>405</v>
      </c>
      <c r="C406" s="3" t="s">
        <v>928</v>
      </c>
      <c r="D406" s="3" t="s">
        <v>929</v>
      </c>
      <c r="E406" s="3" t="s">
        <v>22</v>
      </c>
      <c r="F406" s="3">
        <v>923161067</v>
      </c>
      <c r="G406" s="3">
        <v>73424093</v>
      </c>
      <c r="H406" t="e">
        <f>VLOOKUP(G406,consolidado!$A$2:$B$656,2,FALSE)</f>
        <v>#N/A</v>
      </c>
    </row>
    <row r="407" spans="2:8" ht="17.399999999999999" hidden="1" customHeight="1">
      <c r="B407" s="4">
        <v>406</v>
      </c>
      <c r="C407" s="3" t="s">
        <v>930</v>
      </c>
      <c r="D407" s="3" t="s">
        <v>931</v>
      </c>
      <c r="E407" s="3" t="s">
        <v>22</v>
      </c>
      <c r="F407" s="3" t="s">
        <v>932</v>
      </c>
      <c r="G407" s="3">
        <v>71460150</v>
      </c>
      <c r="H407" t="e">
        <f>VLOOKUP(G407,consolidado!$A$2:$B$656,2,FALSE)</f>
        <v>#N/A</v>
      </c>
    </row>
    <row r="408" spans="2:8" ht="17.399999999999999" hidden="1" customHeight="1">
      <c r="B408" s="4">
        <v>407</v>
      </c>
      <c r="C408" s="3" t="s">
        <v>933</v>
      </c>
      <c r="D408" s="3" t="s">
        <v>934</v>
      </c>
      <c r="E408" s="3" t="s">
        <v>22</v>
      </c>
      <c r="F408" s="3" t="s">
        <v>935</v>
      </c>
      <c r="G408" s="3">
        <v>70480530</v>
      </c>
      <c r="H408" t="e">
        <f>VLOOKUP(G408,consolidado!$A$2:$B$656,2,FALSE)</f>
        <v>#N/A</v>
      </c>
    </row>
    <row r="409" spans="2:8" ht="17.399999999999999" hidden="1" customHeight="1">
      <c r="B409" s="4">
        <v>408</v>
      </c>
      <c r="C409" s="3" t="s">
        <v>936</v>
      </c>
      <c r="D409" s="3" t="s">
        <v>937</v>
      </c>
      <c r="E409" s="3" t="s">
        <v>710</v>
      </c>
      <c r="F409" s="3" t="s">
        <v>938</v>
      </c>
      <c r="G409" s="3">
        <v>21875575</v>
      </c>
      <c r="H409" t="e">
        <f>VLOOKUP(G409,consolidado!$A$2:$B$656,2,FALSE)</f>
        <v>#N/A</v>
      </c>
    </row>
    <row r="410" spans="2:8" ht="17.399999999999999" hidden="1" customHeight="1">
      <c r="B410" s="4">
        <v>409</v>
      </c>
      <c r="C410" s="3" t="s">
        <v>939</v>
      </c>
      <c r="D410" s="3" t="s">
        <v>940</v>
      </c>
      <c r="E410" s="3" t="s">
        <v>22</v>
      </c>
      <c r="F410" s="3" t="s">
        <v>941</v>
      </c>
      <c r="G410" s="3">
        <v>41181909</v>
      </c>
      <c r="H410" t="e">
        <f>VLOOKUP(G410,consolidado!$A$2:$B$656,2,FALSE)</f>
        <v>#N/A</v>
      </c>
    </row>
    <row r="411" spans="2:8" ht="17.399999999999999" hidden="1" customHeight="1">
      <c r="B411" s="4">
        <v>410</v>
      </c>
      <c r="C411" s="3" t="s">
        <v>942</v>
      </c>
      <c r="D411" s="3" t="s">
        <v>943</v>
      </c>
      <c r="E411" s="3" t="s">
        <v>718</v>
      </c>
      <c r="F411" s="3">
        <v>982692592</v>
      </c>
      <c r="G411" s="3">
        <v>76172948</v>
      </c>
      <c r="H411" t="e">
        <f>VLOOKUP(G411,consolidado!$A$2:$B$656,2,FALSE)</f>
        <v>#N/A</v>
      </c>
    </row>
    <row r="412" spans="2:8" ht="17.399999999999999" hidden="1" customHeight="1">
      <c r="B412" s="4">
        <v>411</v>
      </c>
      <c r="C412" s="3" t="s">
        <v>944</v>
      </c>
      <c r="D412" s="3" t="s">
        <v>945</v>
      </c>
      <c r="E412" s="3" t="s">
        <v>99</v>
      </c>
      <c r="F412" s="3" t="s">
        <v>946</v>
      </c>
      <c r="G412" s="3">
        <v>75842283</v>
      </c>
      <c r="H412" t="e">
        <f>VLOOKUP(G412,consolidado!$A$2:$B$656,2,FALSE)</f>
        <v>#N/A</v>
      </c>
    </row>
    <row r="413" spans="2:8" ht="17.399999999999999" hidden="1" customHeight="1">
      <c r="B413" s="4">
        <v>412</v>
      </c>
      <c r="C413" s="3" t="s">
        <v>947</v>
      </c>
      <c r="D413" s="3" t="s">
        <v>948</v>
      </c>
      <c r="E413" s="3" t="s">
        <v>106</v>
      </c>
      <c r="F413" s="3" t="s">
        <v>949</v>
      </c>
      <c r="G413" s="3">
        <v>42981781</v>
      </c>
      <c r="H413" t="e">
        <f>VLOOKUP(G413,consolidado!$A$2:$B$656,2,FALSE)</f>
        <v>#N/A</v>
      </c>
    </row>
    <row r="414" spans="2:8" ht="17.399999999999999" hidden="1" customHeight="1">
      <c r="B414" s="4">
        <v>413</v>
      </c>
      <c r="C414" s="3" t="s">
        <v>950</v>
      </c>
      <c r="D414" s="3" t="s">
        <v>951</v>
      </c>
      <c r="E414" s="3" t="s">
        <v>22</v>
      </c>
      <c r="F414" s="3" t="s">
        <v>952</v>
      </c>
      <c r="G414" s="3">
        <v>75509612</v>
      </c>
      <c r="H414" t="e">
        <f>VLOOKUP(G414,consolidado!$A$2:$B$656,2,FALSE)</f>
        <v>#N/A</v>
      </c>
    </row>
    <row r="415" spans="2:8" ht="17.399999999999999" hidden="1" customHeight="1">
      <c r="B415" s="4">
        <v>414</v>
      </c>
      <c r="C415" s="3" t="s">
        <v>953</v>
      </c>
      <c r="D415" s="3" t="s">
        <v>954</v>
      </c>
      <c r="E415" s="3" t="s">
        <v>106</v>
      </c>
      <c r="F415" s="3">
        <v>983112493</v>
      </c>
      <c r="G415" s="3">
        <v>40969839</v>
      </c>
      <c r="H415" t="e">
        <f>VLOOKUP(G415,consolidado!$A$2:$B$656,2,FALSE)</f>
        <v>#N/A</v>
      </c>
    </row>
    <row r="416" spans="2:8" ht="17.399999999999999" hidden="1" customHeight="1">
      <c r="B416" s="4">
        <v>415</v>
      </c>
      <c r="C416" s="3" t="s">
        <v>955</v>
      </c>
      <c r="D416" s="3" t="s">
        <v>956</v>
      </c>
      <c r="E416" s="3" t="s">
        <v>718</v>
      </c>
      <c r="F416" s="3" t="s">
        <v>957</v>
      </c>
      <c r="G416" s="3">
        <v>75833408</v>
      </c>
      <c r="H416" t="e">
        <f>VLOOKUP(G416,consolidado!$A$2:$B$656,2,FALSE)</f>
        <v>#N/A</v>
      </c>
    </row>
    <row r="417" spans="2:8" ht="17.399999999999999" hidden="1" customHeight="1">
      <c r="B417" s="4">
        <v>416</v>
      </c>
      <c r="C417" s="3" t="s">
        <v>958</v>
      </c>
      <c r="D417" s="3" t="s">
        <v>959</v>
      </c>
      <c r="E417" s="3" t="s">
        <v>718</v>
      </c>
      <c r="F417" s="3">
        <v>922095735</v>
      </c>
      <c r="G417" s="3">
        <v>48510379</v>
      </c>
      <c r="H417" t="e">
        <f>VLOOKUP(G417,consolidado!$A$2:$B$656,2,FALSE)</f>
        <v>#N/A</v>
      </c>
    </row>
    <row r="418" spans="2:8" ht="17.399999999999999" hidden="1" customHeight="1">
      <c r="B418" s="4">
        <v>417</v>
      </c>
      <c r="C418" s="3" t="s">
        <v>960</v>
      </c>
      <c r="D418" s="3" t="s">
        <v>961</v>
      </c>
      <c r="E418" s="3" t="s">
        <v>90</v>
      </c>
      <c r="F418" s="3">
        <v>955401079</v>
      </c>
      <c r="G418" s="3">
        <v>43976098</v>
      </c>
      <c r="H418" t="e">
        <f>VLOOKUP(G418,consolidado!$A$2:$B$656,2,FALSE)</f>
        <v>#N/A</v>
      </c>
    </row>
    <row r="419" spans="2:8" ht="17.399999999999999" hidden="1" customHeight="1">
      <c r="B419" s="4">
        <v>418</v>
      </c>
      <c r="C419" s="3" t="s">
        <v>962</v>
      </c>
      <c r="D419" s="3" t="s">
        <v>963</v>
      </c>
      <c r="E419" s="3" t="s">
        <v>90</v>
      </c>
      <c r="F419" s="3" t="s">
        <v>964</v>
      </c>
      <c r="G419" s="3">
        <v>76568304</v>
      </c>
      <c r="H419" t="e">
        <f>VLOOKUP(G419,consolidado!$A$2:$B$656,2,FALSE)</f>
        <v>#N/A</v>
      </c>
    </row>
    <row r="420" spans="2:8" ht="17.399999999999999" customHeight="1">
      <c r="B420" s="4">
        <v>419</v>
      </c>
      <c r="C420" s="3" t="s">
        <v>965</v>
      </c>
      <c r="D420" s="3" t="s">
        <v>966</v>
      </c>
      <c r="E420" s="3" t="s">
        <v>11</v>
      </c>
      <c r="F420" s="3">
        <v>942625411</v>
      </c>
      <c r="G420" s="3">
        <v>61659340</v>
      </c>
      <c r="H420" t="e">
        <f>VLOOKUP(G420,consolidado!$A$2:$B$656,2,FALSE)</f>
        <v>#N/A</v>
      </c>
    </row>
    <row r="421" spans="2:8" ht="17.399999999999999" hidden="1" customHeight="1">
      <c r="B421" s="4">
        <v>420</v>
      </c>
      <c r="C421" s="3" t="s">
        <v>967</v>
      </c>
      <c r="D421" s="3" t="s">
        <v>968</v>
      </c>
      <c r="E421" s="3" t="s">
        <v>90</v>
      </c>
      <c r="F421" s="3" t="s">
        <v>969</v>
      </c>
      <c r="G421" s="3">
        <v>21868569</v>
      </c>
      <c r="H421" t="e">
        <f>VLOOKUP(G421,consolidado!$A$2:$B$656,2,FALSE)</f>
        <v>#N/A</v>
      </c>
    </row>
    <row r="422" spans="2:8" ht="17.399999999999999" hidden="1" customHeight="1">
      <c r="B422" s="4">
        <v>421</v>
      </c>
      <c r="C422" s="3" t="s">
        <v>970</v>
      </c>
      <c r="D422" s="3" t="s">
        <v>971</v>
      </c>
      <c r="E422" s="3" t="s">
        <v>135</v>
      </c>
      <c r="F422" s="3">
        <v>954952739</v>
      </c>
      <c r="G422" s="3">
        <v>21873647</v>
      </c>
      <c r="H422" t="e">
        <f>VLOOKUP(G422,consolidado!$A$2:$B$656,2,FALSE)</f>
        <v>#N/A</v>
      </c>
    </row>
    <row r="423" spans="2:8" ht="17.399999999999999" hidden="1" customHeight="1">
      <c r="B423" s="4">
        <v>422</v>
      </c>
      <c r="C423" s="3" t="s">
        <v>972</v>
      </c>
      <c r="D423" s="3" t="s">
        <v>973</v>
      </c>
      <c r="E423" s="3" t="s">
        <v>22</v>
      </c>
      <c r="F423" s="3">
        <v>954052720</v>
      </c>
      <c r="G423" s="3">
        <v>21852100</v>
      </c>
      <c r="H423" t="e">
        <f>VLOOKUP(G423,consolidado!$A$2:$B$656,2,FALSE)</f>
        <v>#N/A</v>
      </c>
    </row>
    <row r="424" spans="2:8" ht="17.399999999999999" hidden="1" customHeight="1">
      <c r="B424" s="4">
        <v>423</v>
      </c>
      <c r="C424" s="3" t="s">
        <v>974</v>
      </c>
      <c r="D424" s="3" t="s">
        <v>975</v>
      </c>
      <c r="E424" s="3" t="s">
        <v>710</v>
      </c>
      <c r="F424" s="3">
        <v>992863041</v>
      </c>
      <c r="G424" s="3">
        <v>46496820</v>
      </c>
      <c r="H424" t="e">
        <f>VLOOKUP(G424,consolidado!$A$2:$B$656,2,FALSE)</f>
        <v>#N/A</v>
      </c>
    </row>
    <row r="425" spans="2:8" ht="17.399999999999999" hidden="1" customHeight="1">
      <c r="B425" s="4">
        <v>424</v>
      </c>
      <c r="C425" s="3" t="s">
        <v>976</v>
      </c>
      <c r="D425" s="3" t="s">
        <v>977</v>
      </c>
      <c r="E425" s="3" t="s">
        <v>5</v>
      </c>
      <c r="F425" s="3" t="s">
        <v>978</v>
      </c>
      <c r="G425" s="3">
        <v>21886144</v>
      </c>
      <c r="H425" t="e">
        <f>VLOOKUP(G425,consolidado!$A$2:$B$656,2,FALSE)</f>
        <v>#N/A</v>
      </c>
    </row>
    <row r="426" spans="2:8" ht="17.399999999999999" hidden="1" customHeight="1">
      <c r="B426" s="4">
        <v>425</v>
      </c>
      <c r="C426" s="3" t="s">
        <v>979</v>
      </c>
      <c r="D426" s="3" t="s">
        <v>980</v>
      </c>
      <c r="E426" s="3" t="s">
        <v>765</v>
      </c>
      <c r="F426" s="3">
        <v>989846043</v>
      </c>
      <c r="G426" s="3">
        <v>45098503</v>
      </c>
      <c r="H426" t="e">
        <f>VLOOKUP(G426,consolidado!$A$2:$B$656,2,FALSE)</f>
        <v>#N/A</v>
      </c>
    </row>
    <row r="427" spans="2:8" ht="17.399999999999999" hidden="1" customHeight="1">
      <c r="B427" s="4">
        <v>426</v>
      </c>
      <c r="C427" s="3" t="s">
        <v>981</v>
      </c>
      <c r="D427" s="3" t="s">
        <v>982</v>
      </c>
      <c r="E427" s="3" t="s">
        <v>22</v>
      </c>
      <c r="F427" s="3">
        <v>958172010</v>
      </c>
      <c r="G427" s="3">
        <v>46699310</v>
      </c>
      <c r="H427" t="e">
        <f>VLOOKUP(G427,consolidado!$A$2:$B$656,2,FALSE)</f>
        <v>#N/A</v>
      </c>
    </row>
    <row r="428" spans="2:8" ht="17.399999999999999" hidden="1" customHeight="1">
      <c r="B428" s="4">
        <v>427</v>
      </c>
      <c r="C428" s="3" t="s">
        <v>983</v>
      </c>
      <c r="D428" s="3" t="s">
        <v>984</v>
      </c>
      <c r="E428" s="3" t="s">
        <v>90</v>
      </c>
      <c r="F428" s="3">
        <v>933852105</v>
      </c>
      <c r="G428" s="3">
        <v>21877109</v>
      </c>
      <c r="H428" t="e">
        <f>VLOOKUP(G428,consolidado!$A$2:$B$656,2,FALSE)</f>
        <v>#N/A</v>
      </c>
    </row>
    <row r="429" spans="2:8" ht="17.399999999999999" hidden="1" customHeight="1">
      <c r="B429" s="4">
        <v>428</v>
      </c>
      <c r="C429" s="3" t="s">
        <v>985</v>
      </c>
      <c r="D429" s="3" t="s">
        <v>986</v>
      </c>
      <c r="E429" s="3" t="s">
        <v>36</v>
      </c>
      <c r="F429" s="3">
        <v>902712199</v>
      </c>
      <c r="G429" s="3">
        <v>40860292</v>
      </c>
      <c r="H429" t="e">
        <f>VLOOKUP(G429,consolidado!$A$2:$B$656,2,FALSE)</f>
        <v>#N/A</v>
      </c>
    </row>
    <row r="430" spans="2:8" ht="17.399999999999999" hidden="1" customHeight="1">
      <c r="B430" s="4">
        <v>429</v>
      </c>
      <c r="C430" s="3" t="s">
        <v>987</v>
      </c>
      <c r="D430" s="3" t="s">
        <v>988</v>
      </c>
      <c r="E430" s="3" t="s">
        <v>99</v>
      </c>
      <c r="F430" s="3">
        <v>974714703</v>
      </c>
      <c r="G430" s="3">
        <v>78825818</v>
      </c>
      <c r="H430" t="e">
        <f>VLOOKUP(G430,consolidado!$A$2:$B$656,2,FALSE)</f>
        <v>#N/A</v>
      </c>
    </row>
    <row r="431" spans="2:8" ht="17.399999999999999" hidden="1" customHeight="1">
      <c r="B431" s="4">
        <v>430</v>
      </c>
      <c r="C431" s="3" t="s">
        <v>989</v>
      </c>
      <c r="D431" s="3" t="s">
        <v>990</v>
      </c>
      <c r="E431" s="3" t="s">
        <v>846</v>
      </c>
      <c r="F431" s="3" t="s">
        <v>991</v>
      </c>
      <c r="G431" s="3">
        <v>22309356</v>
      </c>
      <c r="H431" t="e">
        <f>VLOOKUP(G431,consolidado!$A$2:$B$656,2,FALSE)</f>
        <v>#N/A</v>
      </c>
    </row>
    <row r="432" spans="2:8" ht="17.399999999999999" hidden="1" customHeight="1">
      <c r="B432" s="4">
        <v>431</v>
      </c>
      <c r="C432" s="3" t="s">
        <v>992</v>
      </c>
      <c r="D432" s="3" t="s">
        <v>993</v>
      </c>
      <c r="E432" s="3" t="s">
        <v>710</v>
      </c>
      <c r="F432" s="3" t="s">
        <v>994</v>
      </c>
      <c r="G432" s="3">
        <v>74033840</v>
      </c>
      <c r="H432" t="e">
        <f>VLOOKUP(G432,consolidado!$A$2:$B$656,2,FALSE)</f>
        <v>#N/A</v>
      </c>
    </row>
    <row r="433" spans="2:8" ht="17.399999999999999" hidden="1" customHeight="1">
      <c r="B433" s="4">
        <v>432</v>
      </c>
      <c r="C433" s="3" t="s">
        <v>995</v>
      </c>
      <c r="D433" s="3" t="s">
        <v>996</v>
      </c>
      <c r="E433" s="3" t="s">
        <v>27</v>
      </c>
      <c r="F433" s="3">
        <v>945857289</v>
      </c>
      <c r="G433" s="3">
        <v>41576648</v>
      </c>
      <c r="H433" t="e">
        <f>VLOOKUP(G433,consolidado!$A$2:$B$656,2,FALSE)</f>
        <v>#N/A</v>
      </c>
    </row>
    <row r="434" spans="2:8" ht="17.399999999999999" customHeight="1">
      <c r="B434" s="4">
        <v>433</v>
      </c>
      <c r="C434" s="3" t="s">
        <v>997</v>
      </c>
      <c r="D434" s="3" t="s">
        <v>998</v>
      </c>
      <c r="E434" s="3" t="s">
        <v>8</v>
      </c>
      <c r="F434" s="3">
        <v>933641287</v>
      </c>
      <c r="G434" s="3">
        <v>62721790</v>
      </c>
      <c r="H434" t="e">
        <f>VLOOKUP(G434,consolidado!$A$2:$B$656,2,FALSE)</f>
        <v>#N/A</v>
      </c>
    </row>
    <row r="435" spans="2:8" ht="17.399999999999999" hidden="1" customHeight="1">
      <c r="B435" s="4">
        <v>434</v>
      </c>
      <c r="C435" s="3" t="s">
        <v>999</v>
      </c>
      <c r="D435" s="3" t="s">
        <v>1000</v>
      </c>
      <c r="E435" s="3" t="s">
        <v>8</v>
      </c>
      <c r="F435" s="3">
        <v>950545744</v>
      </c>
      <c r="G435" s="3">
        <v>47841679</v>
      </c>
      <c r="H435" t="e">
        <f>VLOOKUP(G435,consolidado!$A$2:$B$656,2,FALSE)</f>
        <v>#N/A</v>
      </c>
    </row>
    <row r="436" spans="2:8" ht="17.399999999999999" hidden="1" customHeight="1">
      <c r="B436" s="4">
        <v>435</v>
      </c>
      <c r="C436" s="3" t="s">
        <v>1001</v>
      </c>
      <c r="D436" s="3" t="s">
        <v>1002</v>
      </c>
      <c r="E436" s="3" t="s">
        <v>2</v>
      </c>
      <c r="F436" s="3" t="s">
        <v>1003</v>
      </c>
      <c r="G436" s="3">
        <v>45747936</v>
      </c>
      <c r="H436" t="e">
        <f>VLOOKUP(G436,consolidado!$A$2:$B$656,2,FALSE)</f>
        <v>#N/A</v>
      </c>
    </row>
    <row r="437" spans="2:8" ht="17.399999999999999" customHeight="1">
      <c r="B437" s="4">
        <v>436</v>
      </c>
      <c r="C437" s="3" t="s">
        <v>1004</v>
      </c>
      <c r="D437" s="3" t="s">
        <v>1005</v>
      </c>
      <c r="E437" s="3" t="s">
        <v>8</v>
      </c>
      <c r="F437" s="3" t="s">
        <v>1006</v>
      </c>
      <c r="G437" s="3">
        <v>71928024</v>
      </c>
      <c r="H437" t="e">
        <f>VLOOKUP(G437,consolidado!$A$2:$B$656,2,FALSE)</f>
        <v>#N/A</v>
      </c>
    </row>
    <row r="438" spans="2:8" ht="17.399999999999999" customHeight="1">
      <c r="B438" s="4">
        <v>437</v>
      </c>
      <c r="C438" s="3" t="s">
        <v>1007</v>
      </c>
      <c r="D438" s="3" t="s">
        <v>1008</v>
      </c>
      <c r="E438" s="3" t="s">
        <v>22</v>
      </c>
      <c r="F438" s="3">
        <v>923229726</v>
      </c>
      <c r="G438" s="3">
        <v>20452777399</v>
      </c>
      <c r="H438" t="e">
        <f>VLOOKUP(G438,consolidado!$A$2:$B$656,2,FALSE)</f>
        <v>#N/A</v>
      </c>
    </row>
    <row r="439" spans="2:8" ht="17.399999999999999" hidden="1" customHeight="1">
      <c r="B439" s="4">
        <v>438</v>
      </c>
      <c r="C439" s="3" t="s">
        <v>1009</v>
      </c>
      <c r="D439" s="3" t="s">
        <v>1010</v>
      </c>
      <c r="E439" s="3" t="s">
        <v>36</v>
      </c>
      <c r="F439" s="3">
        <v>990345375</v>
      </c>
      <c r="G439" s="3">
        <v>75661021</v>
      </c>
      <c r="H439" t="e">
        <f>VLOOKUP(G439,consolidado!$A$2:$B$656,2,FALSE)</f>
        <v>#N/A</v>
      </c>
    </row>
    <row r="440" spans="2:8" ht="17.399999999999999" hidden="1" customHeight="1">
      <c r="B440" s="4">
        <v>439</v>
      </c>
      <c r="C440" s="3" t="s">
        <v>1011</v>
      </c>
      <c r="D440" s="3" t="s">
        <v>1012</v>
      </c>
      <c r="E440" s="3" t="s">
        <v>19</v>
      </c>
      <c r="F440" s="3">
        <v>967591253</v>
      </c>
      <c r="G440" s="3">
        <v>75901224</v>
      </c>
      <c r="H440" t="e">
        <f>VLOOKUP(G440,consolidado!$A$2:$B$656,2,FALSE)</f>
        <v>#N/A</v>
      </c>
    </row>
    <row r="441" spans="2:8" ht="17.399999999999999" hidden="1" customHeight="1">
      <c r="B441" s="4">
        <v>440</v>
      </c>
      <c r="C441" s="3" t="s">
        <v>1013</v>
      </c>
      <c r="D441" s="3" t="s">
        <v>1014</v>
      </c>
      <c r="E441" s="3" t="s">
        <v>230</v>
      </c>
      <c r="F441" s="3" t="s">
        <v>1015</v>
      </c>
      <c r="G441" s="3">
        <v>21847095</v>
      </c>
      <c r="H441" t="e">
        <f>VLOOKUP(G441,consolidado!$A$2:$B$656,2,FALSE)</f>
        <v>#N/A</v>
      </c>
    </row>
    <row r="442" spans="2:8" ht="17.399999999999999" hidden="1" customHeight="1">
      <c r="B442" s="4">
        <v>441</v>
      </c>
      <c r="C442" s="3" t="s">
        <v>1016</v>
      </c>
      <c r="D442" s="3" t="s">
        <v>1017</v>
      </c>
      <c r="E442" s="3" t="s">
        <v>317</v>
      </c>
      <c r="F442" s="3" t="s">
        <v>1018</v>
      </c>
      <c r="G442" s="3">
        <v>40813108</v>
      </c>
      <c r="H442" t="e">
        <f>VLOOKUP(G442,consolidado!$A$2:$B$656,2,FALSE)</f>
        <v>#N/A</v>
      </c>
    </row>
    <row r="443" spans="2:8" ht="17.399999999999999" hidden="1" customHeight="1">
      <c r="B443" s="4">
        <v>442</v>
      </c>
      <c r="C443" s="3" t="s">
        <v>1019</v>
      </c>
      <c r="D443" s="3" t="s">
        <v>1020</v>
      </c>
      <c r="E443" s="3" t="s">
        <v>22</v>
      </c>
      <c r="F443" s="3">
        <v>993656810</v>
      </c>
      <c r="G443" s="3" t="s">
        <v>1021</v>
      </c>
      <c r="H443" t="e">
        <f>VLOOKUP(G443,consolidado!$A$2:$B$656,2,FALSE)</f>
        <v>#N/A</v>
      </c>
    </row>
    <row r="444" spans="2:8" ht="17.399999999999999" hidden="1" customHeight="1">
      <c r="B444" s="4">
        <v>443</v>
      </c>
      <c r="C444" s="3" t="s">
        <v>1022</v>
      </c>
      <c r="D444" s="3" t="s">
        <v>1023</v>
      </c>
      <c r="E444" s="3" t="s">
        <v>718</v>
      </c>
      <c r="F444" s="3">
        <v>923694440</v>
      </c>
      <c r="G444" s="3">
        <v>40679555</v>
      </c>
      <c r="H444" t="e">
        <f>VLOOKUP(G444,consolidado!$A$2:$B$656,2,FALSE)</f>
        <v>#N/A</v>
      </c>
    </row>
    <row r="445" spans="2:8" ht="17.399999999999999" hidden="1" customHeight="1">
      <c r="B445" s="4">
        <v>444</v>
      </c>
      <c r="C445" s="3" t="s">
        <v>1024</v>
      </c>
      <c r="D445" s="3" t="s">
        <v>1025</v>
      </c>
      <c r="E445" s="3" t="s">
        <v>71</v>
      </c>
      <c r="F445" s="3" t="s">
        <v>1026</v>
      </c>
      <c r="G445" s="3">
        <v>75178691</v>
      </c>
      <c r="H445" t="e">
        <f>VLOOKUP(G445,consolidado!$A$2:$B$656,2,FALSE)</f>
        <v>#N/A</v>
      </c>
    </row>
    <row r="446" spans="2:8" ht="17.399999999999999" hidden="1" customHeight="1">
      <c r="B446" s="4">
        <v>445</v>
      </c>
      <c r="C446" s="3" t="s">
        <v>1027</v>
      </c>
      <c r="D446" s="3" t="s">
        <v>1028</v>
      </c>
      <c r="E446" s="3" t="s">
        <v>230</v>
      </c>
      <c r="F446" s="3">
        <v>943326467</v>
      </c>
      <c r="G446" s="3">
        <v>41834203</v>
      </c>
      <c r="H446" t="e">
        <f>VLOOKUP(G446,consolidado!$A$2:$B$656,2,FALSE)</f>
        <v>#N/A</v>
      </c>
    </row>
    <row r="447" spans="2:8" ht="17.399999999999999" hidden="1" customHeight="1">
      <c r="B447" s="4">
        <v>446</v>
      </c>
      <c r="C447" s="3" t="s">
        <v>1029</v>
      </c>
      <c r="D447" s="3" t="s">
        <v>1030</v>
      </c>
      <c r="E447" s="3" t="s">
        <v>334</v>
      </c>
      <c r="F447" s="3">
        <v>900648734</v>
      </c>
      <c r="G447" s="3">
        <v>75957606</v>
      </c>
      <c r="H447" t="e">
        <f>VLOOKUP(G447,consolidado!$A$2:$B$656,2,FALSE)</f>
        <v>#N/A</v>
      </c>
    </row>
    <row r="448" spans="2:8" ht="17.399999999999999" hidden="1" customHeight="1">
      <c r="B448" s="4">
        <v>447</v>
      </c>
      <c r="C448" s="3" t="s">
        <v>1031</v>
      </c>
      <c r="D448" s="3" t="s">
        <v>1032</v>
      </c>
      <c r="E448" s="3" t="s">
        <v>135</v>
      </c>
      <c r="F448" s="3">
        <v>997067532</v>
      </c>
      <c r="G448" s="3">
        <v>21850270</v>
      </c>
      <c r="H448" t="e">
        <f>VLOOKUP(G448,consolidado!$A$2:$B$656,2,FALSE)</f>
        <v>#N/A</v>
      </c>
    </row>
    <row r="449" spans="2:8" ht="17.399999999999999" hidden="1" customHeight="1">
      <c r="B449" s="4">
        <v>448</v>
      </c>
      <c r="C449" s="3" t="s">
        <v>1033</v>
      </c>
      <c r="D449" s="3" t="s">
        <v>1034</v>
      </c>
      <c r="E449" s="3" t="s">
        <v>2</v>
      </c>
      <c r="F449" s="3">
        <v>949792659</v>
      </c>
      <c r="G449" s="3">
        <v>71440787</v>
      </c>
      <c r="H449" t="e">
        <f>VLOOKUP(G449,consolidado!$A$2:$B$656,2,FALSE)</f>
        <v>#N/A</v>
      </c>
    </row>
    <row r="450" spans="2:8" ht="17.399999999999999" hidden="1" customHeight="1">
      <c r="B450" s="4">
        <v>449</v>
      </c>
      <c r="C450" s="3" t="s">
        <v>1035</v>
      </c>
      <c r="D450" s="3" t="s">
        <v>1036</v>
      </c>
      <c r="E450" s="3" t="s">
        <v>334</v>
      </c>
      <c r="F450" s="3">
        <v>934566103</v>
      </c>
      <c r="G450" s="3">
        <v>62892038</v>
      </c>
      <c r="H450" t="e">
        <f>VLOOKUP(G450,consolidado!$A$2:$B$656,2,FALSE)</f>
        <v>#N/A</v>
      </c>
    </row>
    <row r="451" spans="2:8" ht="17.399999999999999" hidden="1" customHeight="1">
      <c r="B451" s="4">
        <v>450</v>
      </c>
      <c r="C451" s="3" t="s">
        <v>1037</v>
      </c>
      <c r="D451" s="3" t="s">
        <v>1038</v>
      </c>
      <c r="E451" s="3" t="s">
        <v>106</v>
      </c>
      <c r="F451" s="3">
        <v>995734338</v>
      </c>
      <c r="G451" s="3">
        <v>44521340</v>
      </c>
      <c r="H451" t="e">
        <f>VLOOKUP(G451,consolidado!$A$2:$B$656,2,FALSE)</f>
        <v>#N/A</v>
      </c>
    </row>
    <row r="452" spans="2:8" ht="17.399999999999999" hidden="1" customHeight="1">
      <c r="B452" s="4">
        <v>451</v>
      </c>
      <c r="C452" s="3" t="s">
        <v>1039</v>
      </c>
      <c r="D452" s="3" t="s">
        <v>1040</v>
      </c>
      <c r="E452" s="3" t="s">
        <v>846</v>
      </c>
      <c r="F452" s="3">
        <v>932904801</v>
      </c>
      <c r="G452" s="3">
        <v>21882395</v>
      </c>
      <c r="H452" t="e">
        <f>VLOOKUP(G452,consolidado!$A$2:$B$656,2,FALSE)</f>
        <v>#N/A</v>
      </c>
    </row>
    <row r="453" spans="2:8" ht="17.399999999999999" hidden="1" customHeight="1">
      <c r="B453" s="4">
        <v>452</v>
      </c>
      <c r="C453" s="3" t="s">
        <v>1041</v>
      </c>
      <c r="D453" s="3" t="s">
        <v>1042</v>
      </c>
      <c r="E453" s="3" t="s">
        <v>106</v>
      </c>
      <c r="F453" s="3">
        <v>908601428</v>
      </c>
      <c r="G453" s="3">
        <v>42777407</v>
      </c>
      <c r="H453" t="e">
        <f>VLOOKUP(G453,consolidado!$A$2:$B$656,2,FALSE)</f>
        <v>#N/A</v>
      </c>
    </row>
    <row r="454" spans="2:8" ht="17.399999999999999" customHeight="1">
      <c r="B454" s="4">
        <v>453</v>
      </c>
      <c r="C454" s="3" t="s">
        <v>1043</v>
      </c>
      <c r="D454" s="3" t="s">
        <v>1044</v>
      </c>
      <c r="E454" s="3" t="s">
        <v>106</v>
      </c>
      <c r="F454" s="3">
        <v>973619478</v>
      </c>
      <c r="G454" s="3">
        <v>74035877</v>
      </c>
      <c r="H454" t="e">
        <f>VLOOKUP(G454,consolidado!$A$2:$B$656,2,FALSE)</f>
        <v>#N/A</v>
      </c>
    </row>
    <row r="455" spans="2:8" ht="17.399999999999999" hidden="1" customHeight="1">
      <c r="B455" s="4">
        <v>454</v>
      </c>
      <c r="C455" s="3" t="s">
        <v>1045</v>
      </c>
      <c r="D455" s="3" t="s">
        <v>1046</v>
      </c>
      <c r="E455" s="3" t="s">
        <v>334</v>
      </c>
      <c r="F455" s="3" t="s">
        <v>1047</v>
      </c>
      <c r="G455" s="3">
        <v>45682504</v>
      </c>
      <c r="H455" t="e">
        <f>VLOOKUP(G455,consolidado!$A$2:$B$656,2,FALSE)</f>
        <v>#N/A</v>
      </c>
    </row>
    <row r="456" spans="2:8" ht="17.399999999999999" hidden="1" customHeight="1">
      <c r="B456" s="4">
        <v>455</v>
      </c>
      <c r="C456" s="3" t="s">
        <v>1048</v>
      </c>
      <c r="D456" s="3" t="s">
        <v>1049</v>
      </c>
      <c r="E456" s="3" t="s">
        <v>1050</v>
      </c>
      <c r="F456" s="3" t="s">
        <v>1051</v>
      </c>
      <c r="G456" s="3">
        <v>21873544</v>
      </c>
      <c r="H456" t="e">
        <f>VLOOKUP(G456,consolidado!$A$2:$B$656,2,FALSE)</f>
        <v>#N/A</v>
      </c>
    </row>
    <row r="457" spans="2:8" ht="17.399999999999999" hidden="1" customHeight="1">
      <c r="B457" s="4">
        <v>456</v>
      </c>
      <c r="C457" s="3" t="s">
        <v>1052</v>
      </c>
      <c r="D457" s="3" t="s">
        <v>1053</v>
      </c>
      <c r="E457" s="3" t="s">
        <v>14</v>
      </c>
      <c r="F457" s="3">
        <v>923177638</v>
      </c>
      <c r="G457" s="3">
        <v>41748230</v>
      </c>
      <c r="H457" t="e">
        <f>VLOOKUP(G457,consolidado!$A$2:$B$656,2,FALSE)</f>
        <v>#N/A</v>
      </c>
    </row>
    <row r="458" spans="2:8" ht="17.399999999999999" hidden="1" customHeight="1">
      <c r="B458" s="4">
        <v>457</v>
      </c>
      <c r="C458" s="3" t="s">
        <v>1054</v>
      </c>
      <c r="D458" s="3" t="s">
        <v>1055</v>
      </c>
      <c r="E458" s="3" t="s">
        <v>126</v>
      </c>
      <c r="F458" s="3" t="s">
        <v>1056</v>
      </c>
      <c r="G458" s="3">
        <v>44771538</v>
      </c>
      <c r="H458" t="e">
        <f>VLOOKUP(G458,consolidado!$A$2:$B$656,2,FALSE)</f>
        <v>#N/A</v>
      </c>
    </row>
    <row r="459" spans="2:8" ht="17.399999999999999" customHeight="1">
      <c r="B459" s="4">
        <v>458</v>
      </c>
      <c r="C459" s="3" t="s">
        <v>1057</v>
      </c>
      <c r="D459" s="3" t="s">
        <v>1058</v>
      </c>
      <c r="E459" s="3" t="s">
        <v>126</v>
      </c>
      <c r="F459" s="3" t="s">
        <v>1059</v>
      </c>
      <c r="G459" s="3">
        <v>73810477</v>
      </c>
      <c r="H459" t="e">
        <f>VLOOKUP(G459,consolidado!$A$2:$B$656,2,FALSE)</f>
        <v>#N/A</v>
      </c>
    </row>
    <row r="460" spans="2:8" ht="17.399999999999999" hidden="1" customHeight="1">
      <c r="B460" s="4">
        <v>459</v>
      </c>
      <c r="C460" s="3" t="s">
        <v>1060</v>
      </c>
      <c r="D460" s="3" t="s">
        <v>1061</v>
      </c>
      <c r="E460" s="3" t="s">
        <v>36</v>
      </c>
      <c r="F460" s="3" t="s">
        <v>1062</v>
      </c>
      <c r="G460" s="3">
        <v>48040901</v>
      </c>
      <c r="H460" t="e">
        <f>VLOOKUP(G460,consolidado!$A$2:$B$656,2,FALSE)</f>
        <v>#N/A</v>
      </c>
    </row>
    <row r="461" spans="2:8" ht="17.399999999999999" hidden="1" customHeight="1">
      <c r="B461" s="4">
        <v>460</v>
      </c>
      <c r="C461" s="3" t="s">
        <v>1063</v>
      </c>
      <c r="D461" s="3" t="s">
        <v>1064</v>
      </c>
      <c r="E461" s="3" t="s">
        <v>11</v>
      </c>
      <c r="F461" s="3" t="s">
        <v>1065</v>
      </c>
      <c r="G461" s="3">
        <v>48222293</v>
      </c>
      <c r="H461" t="e">
        <f>VLOOKUP(G461,consolidado!$A$2:$B$656,2,FALSE)</f>
        <v>#N/A</v>
      </c>
    </row>
    <row r="462" spans="2:8" ht="17.399999999999999" hidden="1" customHeight="1">
      <c r="B462" s="4">
        <v>461</v>
      </c>
      <c r="C462" s="3" t="s">
        <v>1066</v>
      </c>
      <c r="D462" s="3" t="s">
        <v>1067</v>
      </c>
      <c r="E462" s="3" t="s">
        <v>718</v>
      </c>
      <c r="F462" s="3" t="s">
        <v>1068</v>
      </c>
      <c r="G462" s="3">
        <v>71789730</v>
      </c>
      <c r="H462" t="e">
        <f>VLOOKUP(G462,consolidado!$A$2:$B$656,2,FALSE)</f>
        <v>#N/A</v>
      </c>
    </row>
    <row r="463" spans="2:8" ht="17.399999999999999" hidden="1" customHeight="1">
      <c r="B463" s="4">
        <v>462</v>
      </c>
      <c r="C463" s="3" t="s">
        <v>1069</v>
      </c>
      <c r="D463" s="3" t="s">
        <v>1070</v>
      </c>
      <c r="E463" s="3" t="s">
        <v>846</v>
      </c>
      <c r="F463" s="3">
        <v>902226993</v>
      </c>
      <c r="G463" s="3">
        <v>44136139</v>
      </c>
      <c r="H463" t="e">
        <f>VLOOKUP(G463,consolidado!$A$2:$B$656,2,FALSE)</f>
        <v>#N/A</v>
      </c>
    </row>
    <row r="464" spans="2:8" ht="17.399999999999999" hidden="1" customHeight="1">
      <c r="B464" s="4">
        <v>463</v>
      </c>
      <c r="C464" s="3" t="s">
        <v>1071</v>
      </c>
      <c r="D464" s="3" t="s">
        <v>1072</v>
      </c>
      <c r="E464" s="3" t="s">
        <v>27</v>
      </c>
      <c r="F464" s="3">
        <v>967591253</v>
      </c>
      <c r="G464" s="3">
        <v>23019806</v>
      </c>
      <c r="H464" t="e">
        <f>VLOOKUP(G464,consolidado!$A$2:$B$656,2,FALSE)</f>
        <v>#N/A</v>
      </c>
    </row>
    <row r="465" spans="2:8" ht="17.399999999999999" hidden="1" customHeight="1">
      <c r="B465" s="4">
        <v>464</v>
      </c>
      <c r="C465" s="3" t="s">
        <v>1073</v>
      </c>
      <c r="D465" s="3" t="s">
        <v>1074</v>
      </c>
      <c r="E465" s="3" t="s">
        <v>106</v>
      </c>
      <c r="F465" s="3">
        <v>904830949</v>
      </c>
      <c r="G465" s="3">
        <v>21794453</v>
      </c>
      <c r="H465" t="e">
        <f>VLOOKUP(G465,consolidado!$A$2:$B$656,2,FALSE)</f>
        <v>#N/A</v>
      </c>
    </row>
    <row r="466" spans="2:8" ht="17.399999999999999" hidden="1" customHeight="1">
      <c r="B466" s="4">
        <v>465</v>
      </c>
      <c r="C466" s="3" t="s">
        <v>1075</v>
      </c>
      <c r="D466" s="3" t="s">
        <v>1076</v>
      </c>
      <c r="E466" s="3" t="s">
        <v>22</v>
      </c>
      <c r="F466" s="3" t="s">
        <v>1077</v>
      </c>
      <c r="G466" s="3">
        <v>44972815</v>
      </c>
      <c r="H466" t="e">
        <f>VLOOKUP(G466,consolidado!$A$2:$B$656,2,FALSE)</f>
        <v>#N/A</v>
      </c>
    </row>
    <row r="467" spans="2:8" ht="17.399999999999999" hidden="1" customHeight="1">
      <c r="B467" s="4">
        <v>466</v>
      </c>
      <c r="C467" s="3" t="s">
        <v>1078</v>
      </c>
      <c r="D467" s="3" t="s">
        <v>1079</v>
      </c>
      <c r="E467" s="3" t="s">
        <v>27</v>
      </c>
      <c r="F467" s="3" t="s">
        <v>1080</v>
      </c>
      <c r="G467" s="3">
        <v>45778769</v>
      </c>
      <c r="H467" t="e">
        <f>VLOOKUP(G467,consolidado!$A$2:$B$656,2,FALSE)</f>
        <v>#N/A</v>
      </c>
    </row>
    <row r="468" spans="2:8" ht="17.399999999999999" hidden="1" customHeight="1">
      <c r="B468" s="4">
        <v>467</v>
      </c>
      <c r="C468" s="3" t="s">
        <v>1081</v>
      </c>
      <c r="D468" s="3" t="s">
        <v>1082</v>
      </c>
      <c r="E468" s="3" t="s">
        <v>710</v>
      </c>
      <c r="F468" s="3">
        <v>926849100</v>
      </c>
      <c r="G468" s="3">
        <v>72977459</v>
      </c>
      <c r="H468" t="e">
        <f>VLOOKUP(G468,consolidado!$A$2:$B$656,2,FALSE)</f>
        <v>#N/A</v>
      </c>
    </row>
    <row r="469" spans="2:8" ht="17.399999999999999" hidden="1" customHeight="1">
      <c r="B469" s="4">
        <v>468</v>
      </c>
      <c r="C469" s="3" t="s">
        <v>1083</v>
      </c>
      <c r="D469" s="3" t="s">
        <v>1084</v>
      </c>
      <c r="E469" s="3" t="s">
        <v>106</v>
      </c>
      <c r="F469" s="3" t="s">
        <v>1085</v>
      </c>
      <c r="G469" s="3">
        <v>21857534</v>
      </c>
      <c r="H469" t="e">
        <f>VLOOKUP(G469,consolidado!$A$2:$B$656,2,FALSE)</f>
        <v>#N/A</v>
      </c>
    </row>
    <row r="470" spans="2:8" ht="17.399999999999999" hidden="1" customHeight="1">
      <c r="B470" s="4">
        <v>469</v>
      </c>
      <c r="C470" s="3" t="s">
        <v>1086</v>
      </c>
      <c r="D470" s="3" t="s">
        <v>1087</v>
      </c>
      <c r="E470" s="3" t="s">
        <v>22</v>
      </c>
      <c r="F470" s="3" t="s">
        <v>1088</v>
      </c>
      <c r="G470" s="3">
        <v>21881955</v>
      </c>
      <c r="H470" t="e">
        <f>VLOOKUP(G470,consolidado!$A$2:$B$656,2,FALSE)</f>
        <v>#N/A</v>
      </c>
    </row>
    <row r="471" spans="2:8" ht="17.399999999999999" hidden="1" customHeight="1">
      <c r="B471" s="4">
        <v>470</v>
      </c>
      <c r="C471" s="3" t="s">
        <v>1089</v>
      </c>
      <c r="D471" s="3" t="s">
        <v>1090</v>
      </c>
      <c r="E471" s="3" t="s">
        <v>27</v>
      </c>
      <c r="F471" s="3">
        <v>912074015</v>
      </c>
      <c r="G471" s="3">
        <v>21794090</v>
      </c>
      <c r="H471" t="e">
        <f>VLOOKUP(G471,consolidado!$A$2:$B$656,2,FALSE)</f>
        <v>#N/A</v>
      </c>
    </row>
    <row r="472" spans="2:8" ht="17.399999999999999" hidden="1" customHeight="1">
      <c r="B472" s="4">
        <v>471</v>
      </c>
      <c r="C472" s="3" t="s">
        <v>1091</v>
      </c>
      <c r="D472" s="3" t="s">
        <v>1092</v>
      </c>
      <c r="E472" s="3" t="s">
        <v>11</v>
      </c>
      <c r="F472" s="3" t="s">
        <v>1093</v>
      </c>
      <c r="G472" s="3">
        <v>41075262</v>
      </c>
      <c r="H472" t="e">
        <f>VLOOKUP(G472,consolidado!$A$2:$B$656,2,FALSE)</f>
        <v>#N/A</v>
      </c>
    </row>
    <row r="473" spans="2:8" ht="17.399999999999999" hidden="1" customHeight="1">
      <c r="B473" s="4">
        <v>472</v>
      </c>
      <c r="C473" s="3" t="s">
        <v>1094</v>
      </c>
      <c r="D473" s="3" t="s">
        <v>1095</v>
      </c>
      <c r="E473" s="3" t="s">
        <v>106</v>
      </c>
      <c r="F473" s="3" t="s">
        <v>1096</v>
      </c>
      <c r="G473" s="3">
        <v>60454449</v>
      </c>
      <c r="H473" t="e">
        <f>VLOOKUP(G473,consolidado!$A$2:$B$656,2,FALSE)</f>
        <v>#N/A</v>
      </c>
    </row>
    <row r="474" spans="2:8" ht="17.399999999999999" hidden="1" customHeight="1">
      <c r="B474" s="4">
        <v>473</v>
      </c>
      <c r="C474" s="3" t="s">
        <v>1097</v>
      </c>
      <c r="D474" s="3" t="s">
        <v>1098</v>
      </c>
      <c r="E474" s="3" t="s">
        <v>846</v>
      </c>
      <c r="F474" s="3">
        <v>972573295</v>
      </c>
      <c r="G474" s="3">
        <v>44364538</v>
      </c>
      <c r="H474" t="e">
        <f>VLOOKUP(G474,consolidado!$A$2:$B$656,2,FALSE)</f>
        <v>#N/A</v>
      </c>
    </row>
    <row r="475" spans="2:8" ht="17.399999999999999" hidden="1" customHeight="1">
      <c r="B475" s="4">
        <v>474</v>
      </c>
      <c r="C475" s="3" t="s">
        <v>1099</v>
      </c>
      <c r="D475" s="3" t="s">
        <v>1100</v>
      </c>
      <c r="E475" s="3" t="s">
        <v>90</v>
      </c>
      <c r="F475" s="3" t="s">
        <v>1101</v>
      </c>
      <c r="G475" s="3">
        <v>21876020</v>
      </c>
      <c r="H475" t="e">
        <f>VLOOKUP(G475,consolidado!$A$2:$B$656,2,FALSE)</f>
        <v>#N/A</v>
      </c>
    </row>
    <row r="476" spans="2:8" ht="17.399999999999999" hidden="1" customHeight="1">
      <c r="B476" s="4">
        <v>475</v>
      </c>
      <c r="C476" s="3" t="s">
        <v>1102</v>
      </c>
      <c r="D476" s="3" t="s">
        <v>1103</v>
      </c>
      <c r="E476" s="3" t="s">
        <v>99</v>
      </c>
      <c r="F476" s="3">
        <v>947102131</v>
      </c>
      <c r="G476" s="3">
        <v>41455781</v>
      </c>
      <c r="H476" t="e">
        <f>VLOOKUP(G476,consolidado!$A$2:$B$656,2,FALSE)</f>
        <v>#N/A</v>
      </c>
    </row>
    <row r="477" spans="2:8" ht="17.399999999999999" hidden="1" customHeight="1">
      <c r="B477" s="4">
        <v>476</v>
      </c>
      <c r="C477" s="3" t="s">
        <v>1104</v>
      </c>
      <c r="D477" s="3" t="s">
        <v>1105</v>
      </c>
      <c r="E477" s="3" t="s">
        <v>1106</v>
      </c>
      <c r="F477" s="3">
        <v>945160889</v>
      </c>
      <c r="G477" s="3">
        <v>41637529</v>
      </c>
      <c r="H477" t="e">
        <f>VLOOKUP(G477,consolidado!$A$2:$B$656,2,FALSE)</f>
        <v>#N/A</v>
      </c>
    </row>
    <row r="478" spans="2:8" ht="17.399999999999999" hidden="1" customHeight="1">
      <c r="B478" s="4">
        <v>477</v>
      </c>
      <c r="C478" s="3" t="s">
        <v>1107</v>
      </c>
      <c r="D478" s="3" t="s">
        <v>1108</v>
      </c>
      <c r="E478" s="3" t="s">
        <v>19</v>
      </c>
      <c r="F478" s="3">
        <v>912707222</v>
      </c>
      <c r="G478" s="3">
        <v>21862542</v>
      </c>
      <c r="H478" t="e">
        <f>VLOOKUP(G478,consolidado!$A$2:$B$656,2,FALSE)</f>
        <v>#N/A</v>
      </c>
    </row>
    <row r="479" spans="2:8" ht="17.399999999999999" hidden="1" customHeight="1">
      <c r="B479" s="4">
        <v>478</v>
      </c>
      <c r="C479" s="3" t="s">
        <v>1109</v>
      </c>
      <c r="D479" s="3" t="s">
        <v>1110</v>
      </c>
      <c r="E479" s="3" t="s">
        <v>718</v>
      </c>
      <c r="F479" s="3">
        <v>941327977</v>
      </c>
      <c r="G479" s="3">
        <v>41730654</v>
      </c>
      <c r="H479" t="e">
        <f>VLOOKUP(G479,consolidado!$A$2:$B$656,2,FALSE)</f>
        <v>#N/A</v>
      </c>
    </row>
    <row r="480" spans="2:8" ht="17.399999999999999" hidden="1" customHeight="1">
      <c r="B480" s="4">
        <v>479</v>
      </c>
      <c r="C480" s="3" t="s">
        <v>1111</v>
      </c>
      <c r="D480" s="3" t="s">
        <v>1112</v>
      </c>
      <c r="E480" s="3" t="s">
        <v>36</v>
      </c>
      <c r="F480" s="3" t="s">
        <v>1113</v>
      </c>
      <c r="G480" s="3">
        <v>41893651</v>
      </c>
      <c r="H480" t="e">
        <f>VLOOKUP(G480,consolidado!$A$2:$B$656,2,FALSE)</f>
        <v>#N/A</v>
      </c>
    </row>
    <row r="481" spans="2:8" ht="17.399999999999999" hidden="1" customHeight="1">
      <c r="B481" s="4">
        <v>480</v>
      </c>
      <c r="C481" s="3" t="s">
        <v>1114</v>
      </c>
      <c r="D481" s="3" t="s">
        <v>1115</v>
      </c>
      <c r="E481" s="3" t="s">
        <v>334</v>
      </c>
      <c r="F481" s="3">
        <v>914717616</v>
      </c>
      <c r="G481" s="3">
        <v>43210229</v>
      </c>
      <c r="H481" t="e">
        <f>VLOOKUP(G481,consolidado!$A$2:$B$656,2,FALSE)</f>
        <v>#N/A</v>
      </c>
    </row>
    <row r="482" spans="2:8" ht="17.399999999999999" hidden="1" customHeight="1">
      <c r="B482" s="4">
        <v>481</v>
      </c>
      <c r="C482" s="3" t="s">
        <v>1116</v>
      </c>
      <c r="D482" s="3" t="s">
        <v>1117</v>
      </c>
      <c r="E482" s="3" t="s">
        <v>1106</v>
      </c>
      <c r="F482" s="3">
        <v>956487878</v>
      </c>
      <c r="G482" s="3">
        <v>21879369</v>
      </c>
      <c r="H482" t="e">
        <f>VLOOKUP(G482,consolidado!$A$2:$B$656,2,FALSE)</f>
        <v>#N/A</v>
      </c>
    </row>
    <row r="483" spans="2:8" ht="17.399999999999999" customHeight="1">
      <c r="B483" s="4">
        <v>482</v>
      </c>
      <c r="C483" s="3" t="s">
        <v>1118</v>
      </c>
      <c r="D483" s="3" t="s">
        <v>1119</v>
      </c>
      <c r="E483" s="3" t="s">
        <v>106</v>
      </c>
      <c r="F483" s="3" t="s">
        <v>1120</v>
      </c>
      <c r="G483" s="3">
        <v>71835943</v>
      </c>
      <c r="H483" t="e">
        <f>VLOOKUP(G483,consolidado!$A$2:$B$656,2,FALSE)</f>
        <v>#N/A</v>
      </c>
    </row>
    <row r="484" spans="2:8" ht="17.399999999999999" hidden="1" customHeight="1">
      <c r="B484" s="4">
        <v>483</v>
      </c>
      <c r="C484" s="3" t="s">
        <v>1121</v>
      </c>
      <c r="D484" s="3" t="s">
        <v>1122</v>
      </c>
      <c r="E484" s="3" t="s">
        <v>8</v>
      </c>
      <c r="F484" s="3">
        <v>947146086</v>
      </c>
      <c r="G484" s="3">
        <v>21846189</v>
      </c>
      <c r="H484" t="e">
        <f>VLOOKUP(G484,consolidado!$A$2:$B$656,2,FALSE)</f>
        <v>#N/A</v>
      </c>
    </row>
    <row r="485" spans="2:8" ht="17.399999999999999" hidden="1" customHeight="1">
      <c r="B485" s="4">
        <v>484</v>
      </c>
      <c r="C485" s="3" t="s">
        <v>1123</v>
      </c>
      <c r="D485" s="3" t="s">
        <v>1124</v>
      </c>
      <c r="E485" s="3" t="s">
        <v>1106</v>
      </c>
      <c r="F485" s="3" t="s">
        <v>1125</v>
      </c>
      <c r="G485" s="3">
        <v>41854580</v>
      </c>
      <c r="H485" t="e">
        <f>VLOOKUP(G485,consolidado!$A$2:$B$656,2,FALSE)</f>
        <v>#N/A</v>
      </c>
    </row>
    <row r="486" spans="2:8" ht="17.399999999999999" hidden="1" customHeight="1">
      <c r="B486" s="4">
        <v>485</v>
      </c>
      <c r="C486" s="3" t="s">
        <v>1126</v>
      </c>
      <c r="D486" s="3" t="s">
        <v>1127</v>
      </c>
      <c r="E486" s="3" t="s">
        <v>22</v>
      </c>
      <c r="F486" s="3" t="s">
        <v>1128</v>
      </c>
      <c r="G486" s="3">
        <v>42416159</v>
      </c>
      <c r="H486" t="e">
        <f>VLOOKUP(G486,consolidado!$A$2:$B$656,2,FALSE)</f>
        <v>#N/A</v>
      </c>
    </row>
    <row r="487" spans="2:8" ht="17.399999999999999" hidden="1" customHeight="1">
      <c r="B487" s="4">
        <v>486</v>
      </c>
      <c r="C487" s="3" t="s">
        <v>1129</v>
      </c>
      <c r="D487" s="3" t="s">
        <v>1130</v>
      </c>
      <c r="E487" s="3" t="s">
        <v>710</v>
      </c>
      <c r="F487" s="3" t="s">
        <v>1131</v>
      </c>
      <c r="G487" s="3">
        <v>47140229</v>
      </c>
      <c r="H487" t="e">
        <f>VLOOKUP(G487,consolidado!$A$2:$B$656,2,FALSE)</f>
        <v>#N/A</v>
      </c>
    </row>
    <row r="488" spans="2:8" ht="17.399999999999999" hidden="1" customHeight="1">
      <c r="B488" s="4">
        <v>487</v>
      </c>
      <c r="C488" s="3" t="s">
        <v>1132</v>
      </c>
      <c r="D488" s="3" t="s">
        <v>1133</v>
      </c>
      <c r="E488" s="3" t="s">
        <v>5</v>
      </c>
      <c r="F488" s="3">
        <v>906071409</v>
      </c>
      <c r="G488" s="3">
        <v>21850623</v>
      </c>
      <c r="H488" t="e">
        <f>VLOOKUP(G488,consolidado!$A$2:$B$656,2,FALSE)</f>
        <v>#N/A</v>
      </c>
    </row>
    <row r="489" spans="2:8" ht="17.399999999999999" hidden="1" customHeight="1">
      <c r="B489" s="4">
        <v>488</v>
      </c>
      <c r="C489" s="3" t="s">
        <v>1134</v>
      </c>
      <c r="D489" s="3" t="s">
        <v>1135</v>
      </c>
      <c r="E489" s="3" t="s">
        <v>1106</v>
      </c>
      <c r="F489" s="3" t="s">
        <v>1136</v>
      </c>
      <c r="G489" s="3">
        <v>45255187</v>
      </c>
      <c r="H489" t="e">
        <f>VLOOKUP(G489,consolidado!$A$2:$B$656,2,FALSE)</f>
        <v>#N/A</v>
      </c>
    </row>
    <row r="490" spans="2:8" ht="17.399999999999999" hidden="1" customHeight="1">
      <c r="B490" s="4">
        <v>489</v>
      </c>
      <c r="C490" s="3" t="s">
        <v>1137</v>
      </c>
      <c r="D490" s="3" t="s">
        <v>1138</v>
      </c>
      <c r="E490" s="3" t="s">
        <v>1106</v>
      </c>
      <c r="F490" s="3" t="s">
        <v>1139</v>
      </c>
      <c r="G490" s="3">
        <v>15439628</v>
      </c>
      <c r="H490" t="e">
        <f>VLOOKUP(G490,consolidado!$A$2:$B$656,2,FALSE)</f>
        <v>#N/A</v>
      </c>
    </row>
    <row r="491" spans="2:8" ht="17.399999999999999" hidden="1" customHeight="1">
      <c r="B491" s="4">
        <v>490</v>
      </c>
      <c r="C491" s="3" t="s">
        <v>1140</v>
      </c>
      <c r="D491" s="3" t="s">
        <v>1141</v>
      </c>
      <c r="E491" s="3" t="s">
        <v>1106</v>
      </c>
      <c r="F491" s="3" t="s">
        <v>1142</v>
      </c>
      <c r="G491" s="3">
        <v>40905473</v>
      </c>
      <c r="H491" t="e">
        <f>VLOOKUP(G491,consolidado!$A$2:$B$656,2,FALSE)</f>
        <v>#N/A</v>
      </c>
    </row>
    <row r="492" spans="2:8" ht="17.399999999999999" hidden="1" customHeight="1">
      <c r="B492" s="4">
        <v>491</v>
      </c>
      <c r="C492" s="3" t="s">
        <v>1143</v>
      </c>
      <c r="D492" s="3" t="s">
        <v>1144</v>
      </c>
      <c r="E492" s="3" t="s">
        <v>846</v>
      </c>
      <c r="F492" s="3">
        <v>994323996</v>
      </c>
      <c r="G492" s="3">
        <v>45252181</v>
      </c>
      <c r="H492" t="e">
        <f>VLOOKUP(G492,consolidado!$A$2:$B$656,2,FALSE)</f>
        <v>#N/A</v>
      </c>
    </row>
    <row r="493" spans="2:8" ht="17.399999999999999" hidden="1" customHeight="1">
      <c r="B493" s="4">
        <v>492</v>
      </c>
      <c r="C493" s="3" t="s">
        <v>1145</v>
      </c>
      <c r="D493" s="3" t="s">
        <v>1146</v>
      </c>
      <c r="E493" s="3" t="s">
        <v>36</v>
      </c>
      <c r="F493" s="3">
        <v>930197086</v>
      </c>
      <c r="G493" s="3">
        <v>72082086</v>
      </c>
      <c r="H493" t="e">
        <f>VLOOKUP(G493,consolidado!$A$2:$B$656,2,FALSE)</f>
        <v>#N/A</v>
      </c>
    </row>
    <row r="494" spans="2:8" ht="17.399999999999999" hidden="1" customHeight="1">
      <c r="B494" s="4">
        <v>493</v>
      </c>
      <c r="C494" s="3" t="s">
        <v>1147</v>
      </c>
      <c r="D494" s="3" t="s">
        <v>1148</v>
      </c>
      <c r="E494" s="3" t="s">
        <v>1106</v>
      </c>
      <c r="F494" s="3" t="s">
        <v>1149</v>
      </c>
      <c r="G494" s="3">
        <v>41135592</v>
      </c>
      <c r="H494" t="e">
        <f>VLOOKUP(G494,consolidado!$A$2:$B$656,2,FALSE)</f>
        <v>#N/A</v>
      </c>
    </row>
    <row r="495" spans="2:8" ht="17.399999999999999" hidden="1" customHeight="1">
      <c r="B495" s="4">
        <v>494</v>
      </c>
      <c r="C495" s="3" t="s">
        <v>1150</v>
      </c>
      <c r="D495" s="3" t="s">
        <v>1151</v>
      </c>
      <c r="E495" s="3" t="s">
        <v>846</v>
      </c>
      <c r="F495" s="3">
        <v>995029580</v>
      </c>
      <c r="G495" s="3">
        <v>44176871</v>
      </c>
      <c r="H495" t="e">
        <f>VLOOKUP(G495,consolidado!$A$2:$B$656,2,FALSE)</f>
        <v>#N/A</v>
      </c>
    </row>
    <row r="496" spans="2:8" ht="17.399999999999999" hidden="1" customHeight="1">
      <c r="B496" s="4">
        <v>495</v>
      </c>
      <c r="C496" s="3" t="s">
        <v>1152</v>
      </c>
      <c r="D496" s="3" t="s">
        <v>1153</v>
      </c>
      <c r="E496" s="3" t="s">
        <v>1106</v>
      </c>
      <c r="F496" s="3">
        <v>947929771</v>
      </c>
      <c r="G496" s="3">
        <v>21866254</v>
      </c>
      <c r="H496" t="e">
        <f>VLOOKUP(G496,consolidado!$A$2:$B$656,2,FALSE)</f>
        <v>#N/A</v>
      </c>
    </row>
    <row r="497" spans="2:8" ht="17.399999999999999" hidden="1" customHeight="1">
      <c r="B497" s="4">
        <v>496</v>
      </c>
      <c r="C497" s="3" t="s">
        <v>1154</v>
      </c>
      <c r="D497" s="3" t="s">
        <v>1155</v>
      </c>
      <c r="E497" s="3" t="s">
        <v>14</v>
      </c>
      <c r="F497" s="3" t="s">
        <v>1156</v>
      </c>
      <c r="G497" s="3">
        <v>43628022</v>
      </c>
      <c r="H497" t="e">
        <f>VLOOKUP(G497,consolidado!$A$2:$B$656,2,FALSE)</f>
        <v>#N/A</v>
      </c>
    </row>
    <row r="498" spans="2:8" ht="17.399999999999999" hidden="1" customHeight="1">
      <c r="B498" s="4">
        <v>497</v>
      </c>
      <c r="C498" s="3" t="s">
        <v>1157</v>
      </c>
      <c r="D498" s="3" t="s">
        <v>1158</v>
      </c>
      <c r="E498" s="3" t="s">
        <v>19</v>
      </c>
      <c r="F498" s="3">
        <v>965696054</v>
      </c>
      <c r="G498" s="3">
        <v>21815949</v>
      </c>
      <c r="H498" t="e">
        <f>VLOOKUP(G498,consolidado!$A$2:$B$656,2,FALSE)</f>
        <v>#N/A</v>
      </c>
    </row>
    <row r="499" spans="2:8" ht="17.399999999999999" hidden="1" customHeight="1">
      <c r="B499" s="4">
        <v>498</v>
      </c>
      <c r="C499" s="3" t="s">
        <v>1159</v>
      </c>
      <c r="D499" s="3" t="s">
        <v>1160</v>
      </c>
      <c r="E499" s="3" t="s">
        <v>710</v>
      </c>
      <c r="F499" s="3">
        <v>955446960</v>
      </c>
      <c r="G499" s="3">
        <v>21867629</v>
      </c>
      <c r="H499" t="e">
        <f>VLOOKUP(G499,consolidado!$A$2:$B$656,2,FALSE)</f>
        <v>#N/A</v>
      </c>
    </row>
    <row r="500" spans="2:8" ht="17.399999999999999" hidden="1" customHeight="1">
      <c r="B500" s="4">
        <v>499</v>
      </c>
      <c r="C500" s="3" t="s">
        <v>1161</v>
      </c>
      <c r="D500" s="3" t="s">
        <v>1162</v>
      </c>
      <c r="E500" s="3" t="s">
        <v>22</v>
      </c>
      <c r="F500" s="3" t="s">
        <v>1163</v>
      </c>
      <c r="G500" s="3" t="s">
        <v>1164</v>
      </c>
      <c r="H500" t="e">
        <f>VLOOKUP(G500,consolidado!$A$2:$B$656,2,FALSE)</f>
        <v>#N/A</v>
      </c>
    </row>
    <row r="501" spans="2:8" ht="17.399999999999999" hidden="1" customHeight="1">
      <c r="B501" s="4">
        <v>500</v>
      </c>
      <c r="C501" s="3" t="s">
        <v>1165</v>
      </c>
      <c r="D501" s="3" t="s">
        <v>1166</v>
      </c>
      <c r="E501" s="3" t="s">
        <v>1106</v>
      </c>
      <c r="F501" s="3">
        <v>995352283</v>
      </c>
      <c r="G501" s="3">
        <v>41114586</v>
      </c>
      <c r="H501" t="e">
        <f>VLOOKUP(G501,consolidado!$A$2:$B$656,2,FALSE)</f>
        <v>#N/A</v>
      </c>
    </row>
    <row r="502" spans="2:8" ht="17.399999999999999" hidden="1" customHeight="1">
      <c r="B502" s="4">
        <v>501</v>
      </c>
      <c r="C502" s="3" t="s">
        <v>1167</v>
      </c>
      <c r="D502" s="3" t="s">
        <v>743</v>
      </c>
      <c r="E502" s="3" t="s">
        <v>230</v>
      </c>
      <c r="F502" s="3" t="s">
        <v>744</v>
      </c>
      <c r="G502" s="3">
        <v>21851052</v>
      </c>
      <c r="H502" t="e">
        <f>VLOOKUP(G502,consolidado!$A$2:$B$656,2,FALSE)</f>
        <v>#N/A</v>
      </c>
    </row>
    <row r="503" spans="2:8" ht="17.399999999999999" hidden="1" customHeight="1">
      <c r="B503" s="4">
        <v>502</v>
      </c>
      <c r="C503" s="3" t="s">
        <v>1168</v>
      </c>
      <c r="D503" s="3" t="s">
        <v>1169</v>
      </c>
      <c r="E503" s="3" t="s">
        <v>718</v>
      </c>
      <c r="F503" s="3">
        <v>962278152</v>
      </c>
      <c r="G503" s="3">
        <v>40956921</v>
      </c>
      <c r="H503" t="e">
        <f>VLOOKUP(G503,consolidado!$A$2:$B$656,2,FALSE)</f>
        <v>#N/A</v>
      </c>
    </row>
    <row r="504" spans="2:8" ht="17.399999999999999" hidden="1" customHeight="1">
      <c r="B504" s="4">
        <v>503</v>
      </c>
      <c r="C504" s="3" t="s">
        <v>1170</v>
      </c>
      <c r="D504" s="3" t="s">
        <v>1171</v>
      </c>
      <c r="E504" s="3" t="s">
        <v>718</v>
      </c>
      <c r="F504" s="3">
        <v>935252637</v>
      </c>
      <c r="G504" s="3">
        <v>47934103</v>
      </c>
      <c r="H504" t="e">
        <f>VLOOKUP(G504,consolidado!$A$2:$B$656,2,FALSE)</f>
        <v>#N/A</v>
      </c>
    </row>
    <row r="505" spans="2:8" ht="17.399999999999999" hidden="1" customHeight="1">
      <c r="B505" s="4">
        <v>504</v>
      </c>
      <c r="C505" s="3" t="s">
        <v>1172</v>
      </c>
      <c r="D505" s="3" t="s">
        <v>1173</v>
      </c>
      <c r="E505" s="3" t="s">
        <v>126</v>
      </c>
      <c r="F505" s="3">
        <v>944420613</v>
      </c>
      <c r="G505" s="3">
        <v>21781164</v>
      </c>
      <c r="H505" t="e">
        <f>VLOOKUP(G505,consolidado!$A$2:$B$656,2,FALSE)</f>
        <v>#N/A</v>
      </c>
    </row>
    <row r="506" spans="2:8" ht="17.399999999999999" hidden="1" customHeight="1">
      <c r="B506" s="4">
        <v>505</v>
      </c>
      <c r="C506" s="3" t="s">
        <v>1174</v>
      </c>
      <c r="D506" s="3" t="s">
        <v>1175</v>
      </c>
      <c r="E506" s="3" t="s">
        <v>22</v>
      </c>
      <c r="F506" s="3">
        <v>933212718</v>
      </c>
      <c r="G506" s="3">
        <v>21811430</v>
      </c>
      <c r="H506" t="e">
        <f>VLOOKUP(G506,consolidado!$A$2:$B$656,2,FALSE)</f>
        <v>#N/A</v>
      </c>
    </row>
    <row r="507" spans="2:8" ht="17.399999999999999" hidden="1" customHeight="1">
      <c r="B507" s="4">
        <v>506</v>
      </c>
      <c r="C507" s="3" t="s">
        <v>1176</v>
      </c>
      <c r="D507" s="3" t="s">
        <v>1177</v>
      </c>
      <c r="E507" s="3" t="s">
        <v>19</v>
      </c>
      <c r="F507" s="3" t="s">
        <v>1178</v>
      </c>
      <c r="G507" s="3">
        <v>73753884</v>
      </c>
      <c r="H507" t="e">
        <f>VLOOKUP(G507,consolidado!$A$2:$B$656,2,FALSE)</f>
        <v>#N/A</v>
      </c>
    </row>
    <row r="508" spans="2:8" ht="17.399999999999999" hidden="1" customHeight="1">
      <c r="B508" s="4">
        <v>507</v>
      </c>
      <c r="C508" s="3" t="s">
        <v>1179</v>
      </c>
      <c r="D508" s="3" t="s">
        <v>1180</v>
      </c>
      <c r="E508" s="3" t="s">
        <v>19</v>
      </c>
      <c r="F508" s="3">
        <v>923116164</v>
      </c>
      <c r="G508" s="3">
        <v>73587616</v>
      </c>
      <c r="H508" t="e">
        <f>VLOOKUP(G508,consolidado!$A$2:$B$656,2,FALSE)</f>
        <v>#N/A</v>
      </c>
    </row>
    <row r="509" spans="2:8" ht="17.399999999999999" hidden="1" customHeight="1">
      <c r="B509" s="4">
        <v>508</v>
      </c>
      <c r="C509" s="3" t="s">
        <v>1181</v>
      </c>
      <c r="D509" s="3" t="s">
        <v>1182</v>
      </c>
      <c r="E509" s="3" t="s">
        <v>22</v>
      </c>
      <c r="F509" s="3" t="s">
        <v>1183</v>
      </c>
      <c r="G509" s="3">
        <v>75724634</v>
      </c>
      <c r="H509" t="e">
        <f>VLOOKUP(G509,consolidado!$A$2:$B$656,2,FALSE)</f>
        <v>#N/A</v>
      </c>
    </row>
    <row r="510" spans="2:8" ht="17.399999999999999" hidden="1" customHeight="1">
      <c r="B510" s="4">
        <v>509</v>
      </c>
      <c r="C510" s="3" t="s">
        <v>1184</v>
      </c>
      <c r="D510" s="3" t="s">
        <v>1185</v>
      </c>
      <c r="E510" s="3" t="s">
        <v>718</v>
      </c>
      <c r="F510" s="3">
        <v>978787582</v>
      </c>
      <c r="G510" s="3">
        <v>76953577</v>
      </c>
      <c r="H510" t="e">
        <f>VLOOKUP(G510,consolidado!$A$2:$B$656,2,FALSE)</f>
        <v>#N/A</v>
      </c>
    </row>
    <row r="511" spans="2:8" ht="17.399999999999999" hidden="1" customHeight="1">
      <c r="B511" s="4">
        <v>510</v>
      </c>
      <c r="C511" s="3" t="s">
        <v>1186</v>
      </c>
      <c r="D511" s="3" t="s">
        <v>1187</v>
      </c>
      <c r="E511" s="3" t="s">
        <v>27</v>
      </c>
      <c r="F511" s="3">
        <v>936199249</v>
      </c>
      <c r="G511" s="3">
        <v>40845052</v>
      </c>
      <c r="H511" t="e">
        <f>VLOOKUP(G511,consolidado!$A$2:$B$656,2,FALSE)</f>
        <v>#N/A</v>
      </c>
    </row>
    <row r="512" spans="2:8" ht="17.399999999999999" hidden="1" customHeight="1">
      <c r="B512" s="4">
        <v>511</v>
      </c>
      <c r="C512" s="3" t="s">
        <v>1188</v>
      </c>
      <c r="D512" s="3" t="s">
        <v>1189</v>
      </c>
      <c r="E512" s="3" t="s">
        <v>19</v>
      </c>
      <c r="F512" s="3" t="s">
        <v>1190</v>
      </c>
      <c r="G512" s="3">
        <v>21785244</v>
      </c>
      <c r="H512" t="e">
        <f>VLOOKUP(G512,consolidado!$A$2:$B$656,2,FALSE)</f>
        <v>#N/A</v>
      </c>
    </row>
    <row r="513" spans="2:8" ht="17.399999999999999" hidden="1" customHeight="1">
      <c r="B513" s="4">
        <v>512</v>
      </c>
      <c r="C513" s="3" t="s">
        <v>1191</v>
      </c>
      <c r="D513" s="3" t="s">
        <v>1192</v>
      </c>
      <c r="E513" s="3" t="s">
        <v>22</v>
      </c>
      <c r="F513" s="3" t="s">
        <v>1193</v>
      </c>
      <c r="G513" s="3">
        <v>21866147</v>
      </c>
      <c r="H513" t="e">
        <f>VLOOKUP(G513,consolidado!$A$2:$B$656,2,FALSE)</f>
        <v>#N/A</v>
      </c>
    </row>
    <row r="514" spans="2:8" ht="17.399999999999999" hidden="1" customHeight="1">
      <c r="B514" s="4">
        <v>513</v>
      </c>
      <c r="C514" s="3" t="s">
        <v>1194</v>
      </c>
      <c r="D514" s="3" t="s">
        <v>1195</v>
      </c>
      <c r="E514" s="3" t="s">
        <v>2</v>
      </c>
      <c r="F514" s="3" t="s">
        <v>1196</v>
      </c>
      <c r="G514" s="3">
        <v>43451897</v>
      </c>
      <c r="H514" t="e">
        <f>VLOOKUP(G514,consolidado!$A$2:$B$656,2,FALSE)</f>
        <v>#N/A</v>
      </c>
    </row>
    <row r="515" spans="2:8" ht="17.399999999999999" hidden="1" customHeight="1">
      <c r="B515" s="4">
        <v>514</v>
      </c>
      <c r="C515" s="3" t="s">
        <v>1197</v>
      </c>
      <c r="D515" s="3" t="s">
        <v>1198</v>
      </c>
      <c r="E515" s="3" t="s">
        <v>710</v>
      </c>
      <c r="F515" s="3">
        <v>981290053</v>
      </c>
      <c r="G515" s="3">
        <v>21887938</v>
      </c>
      <c r="H515" t="e">
        <f>VLOOKUP(G515,consolidado!$A$2:$B$656,2,FALSE)</f>
        <v>#N/A</v>
      </c>
    </row>
    <row r="516" spans="2:8" ht="17.399999999999999" hidden="1" customHeight="1">
      <c r="B516" s="4">
        <v>515</v>
      </c>
      <c r="C516" s="3" t="s">
        <v>1199</v>
      </c>
      <c r="D516" s="3" t="s">
        <v>1200</v>
      </c>
      <c r="E516" s="3" t="s">
        <v>126</v>
      </c>
      <c r="F516" s="3">
        <v>922261999</v>
      </c>
      <c r="G516" s="3">
        <v>21863844</v>
      </c>
      <c r="H516" t="e">
        <f>VLOOKUP(G516,consolidado!$A$2:$B$656,2,FALSE)</f>
        <v>#N/A</v>
      </c>
    </row>
    <row r="517" spans="2:8" ht="17.399999999999999" customHeight="1">
      <c r="B517" s="4">
        <v>516</v>
      </c>
      <c r="C517" s="3" t="s">
        <v>1201</v>
      </c>
      <c r="D517" s="3" t="s">
        <v>1202</v>
      </c>
      <c r="E517" s="3" t="s">
        <v>5</v>
      </c>
      <c r="F517" s="3" t="s">
        <v>1203</v>
      </c>
      <c r="G517" s="3">
        <v>40676826</v>
      </c>
      <c r="H517" t="e">
        <f>VLOOKUP(G517,consolidado!$A$2:$B$656,2,FALSE)</f>
        <v>#N/A</v>
      </c>
    </row>
    <row r="518" spans="2:8" ht="17.399999999999999" customHeight="1">
      <c r="B518" s="4">
        <v>517</v>
      </c>
      <c r="C518" s="3" t="s">
        <v>1204</v>
      </c>
      <c r="D518" s="3" t="s">
        <v>1205</v>
      </c>
      <c r="E518" s="3" t="s">
        <v>718</v>
      </c>
      <c r="F518" s="3">
        <v>966615223</v>
      </c>
      <c r="G518" s="3">
        <v>41379748</v>
      </c>
      <c r="H518" t="e">
        <f>VLOOKUP(G518,consolidado!$A$2:$B$656,2,FALSE)</f>
        <v>#N/A</v>
      </c>
    </row>
    <row r="519" spans="2:8" ht="17.399999999999999" hidden="1" customHeight="1">
      <c r="B519" s="4">
        <v>518</v>
      </c>
      <c r="C519" s="3" t="s">
        <v>1206</v>
      </c>
      <c r="D519" s="3" t="s">
        <v>1207</v>
      </c>
      <c r="E519" s="3" t="s">
        <v>106</v>
      </c>
      <c r="F519" s="3" t="s">
        <v>1208</v>
      </c>
      <c r="G519" s="3">
        <v>21869367</v>
      </c>
      <c r="H519" t="e">
        <f>VLOOKUP(G519,consolidado!$A$2:$B$656,2,FALSE)</f>
        <v>#N/A</v>
      </c>
    </row>
    <row r="520" spans="2:8" ht="17.399999999999999" hidden="1" customHeight="1">
      <c r="B520" s="4">
        <v>519</v>
      </c>
      <c r="C520" s="3" t="s">
        <v>1209</v>
      </c>
      <c r="D520" s="3" t="s">
        <v>1210</v>
      </c>
      <c r="E520" s="3" t="s">
        <v>36</v>
      </c>
      <c r="F520" s="3">
        <v>902779650</v>
      </c>
      <c r="G520" s="3">
        <v>21819087</v>
      </c>
      <c r="H520" t="e">
        <f>VLOOKUP(G520,consolidado!$A$2:$B$656,2,FALSE)</f>
        <v>#N/A</v>
      </c>
    </row>
    <row r="521" spans="2:8" ht="17.399999999999999" hidden="1" customHeight="1">
      <c r="B521" s="4">
        <v>520</v>
      </c>
      <c r="C521" s="3" t="s">
        <v>1211</v>
      </c>
      <c r="D521" s="3" t="s">
        <v>1212</v>
      </c>
      <c r="E521" s="3" t="s">
        <v>22</v>
      </c>
      <c r="F521" s="3">
        <v>939839494</v>
      </c>
      <c r="G521" s="3">
        <v>40036264</v>
      </c>
      <c r="H521" t="e">
        <f>VLOOKUP(G521,consolidado!$A$2:$B$656,2,FALSE)</f>
        <v>#N/A</v>
      </c>
    </row>
    <row r="522" spans="2:8" ht="17.399999999999999" hidden="1" customHeight="1">
      <c r="B522" s="4">
        <v>521</v>
      </c>
      <c r="C522" s="3" t="s">
        <v>1213</v>
      </c>
      <c r="D522" s="3" t="s">
        <v>1214</v>
      </c>
      <c r="E522" s="3" t="s">
        <v>36</v>
      </c>
      <c r="F522" s="3" t="s">
        <v>1215</v>
      </c>
      <c r="G522" s="3">
        <v>70312599</v>
      </c>
      <c r="H522" t="e">
        <f>VLOOKUP(G522,consolidado!$A$2:$B$656,2,FALSE)</f>
        <v>#N/A</v>
      </c>
    </row>
    <row r="523" spans="2:8" ht="17.399999999999999" hidden="1" customHeight="1">
      <c r="B523" s="4">
        <v>522</v>
      </c>
      <c r="C523" s="3" t="s">
        <v>1216</v>
      </c>
      <c r="D523" s="3" t="s">
        <v>1217</v>
      </c>
      <c r="E523" s="3" t="s">
        <v>22</v>
      </c>
      <c r="F523" s="3">
        <v>906234378</v>
      </c>
      <c r="G523" s="3">
        <v>76022500</v>
      </c>
      <c r="H523" t="e">
        <f>VLOOKUP(G523,consolidado!$A$2:$B$656,2,FALSE)</f>
        <v>#N/A</v>
      </c>
    </row>
    <row r="524" spans="2:8" ht="17.399999999999999" hidden="1" customHeight="1">
      <c r="B524" s="4">
        <v>523</v>
      </c>
      <c r="C524" s="3" t="s">
        <v>1218</v>
      </c>
      <c r="D524" s="3" t="s">
        <v>1219</v>
      </c>
      <c r="E524" s="3" t="s">
        <v>106</v>
      </c>
      <c r="F524" s="3" t="s">
        <v>1220</v>
      </c>
      <c r="G524" s="3">
        <v>71447384</v>
      </c>
      <c r="H524" t="e">
        <f>VLOOKUP(G524,consolidado!$A$2:$B$656,2,FALSE)</f>
        <v>#N/A</v>
      </c>
    </row>
    <row r="525" spans="2:8" ht="17.399999999999999" hidden="1" customHeight="1">
      <c r="B525" s="4">
        <v>524</v>
      </c>
      <c r="C525" s="3" t="s">
        <v>1221</v>
      </c>
      <c r="D525" s="3" t="s">
        <v>1222</v>
      </c>
      <c r="E525" s="3" t="s">
        <v>2</v>
      </c>
      <c r="F525" s="3" t="s">
        <v>1223</v>
      </c>
      <c r="G525" s="3">
        <v>45507136</v>
      </c>
      <c r="H525" t="e">
        <f>VLOOKUP(G525,consolidado!$A$2:$B$656,2,FALSE)</f>
        <v>#N/A</v>
      </c>
    </row>
    <row r="526" spans="2:8" ht="17.399999999999999" hidden="1" customHeight="1">
      <c r="B526" s="4">
        <v>525</v>
      </c>
      <c r="C526" s="3" t="s">
        <v>1224</v>
      </c>
      <c r="D526" s="3" t="s">
        <v>1225</v>
      </c>
      <c r="E526" s="3" t="s">
        <v>36</v>
      </c>
      <c r="F526" s="3" t="s">
        <v>1226</v>
      </c>
      <c r="G526" s="3">
        <v>41334643</v>
      </c>
      <c r="H526" t="e">
        <f>VLOOKUP(G526,consolidado!$A$2:$B$656,2,FALSE)</f>
        <v>#N/A</v>
      </c>
    </row>
    <row r="527" spans="2:8" ht="17.399999999999999" hidden="1" customHeight="1">
      <c r="B527" s="4">
        <v>526</v>
      </c>
      <c r="C527" s="3" t="s">
        <v>1227</v>
      </c>
      <c r="D527" s="3" t="s">
        <v>1228</v>
      </c>
      <c r="E527" s="3" t="s">
        <v>1106</v>
      </c>
      <c r="F527" s="3">
        <v>907525014</v>
      </c>
      <c r="G527" s="3">
        <v>43949731</v>
      </c>
      <c r="H527" t="e">
        <f>VLOOKUP(G527,consolidado!$A$2:$B$656,2,FALSE)</f>
        <v>#N/A</v>
      </c>
    </row>
    <row r="528" spans="2:8" ht="17.399999999999999" hidden="1" customHeight="1">
      <c r="B528" s="4">
        <v>527</v>
      </c>
      <c r="C528" s="3" t="s">
        <v>1229</v>
      </c>
      <c r="D528" s="3" t="s">
        <v>1230</v>
      </c>
      <c r="E528" s="3" t="s">
        <v>14</v>
      </c>
      <c r="F528" s="3">
        <v>988638758</v>
      </c>
      <c r="G528" s="3">
        <v>70394627</v>
      </c>
      <c r="H528" t="e">
        <f>VLOOKUP(G528,consolidado!$A$2:$B$656,2,FALSE)</f>
        <v>#N/A</v>
      </c>
    </row>
    <row r="529" spans="2:8" ht="17.399999999999999" hidden="1" customHeight="1">
      <c r="B529" s="4">
        <v>528</v>
      </c>
      <c r="C529" s="3" t="s">
        <v>1231</v>
      </c>
      <c r="D529" s="3" t="s">
        <v>1232</v>
      </c>
      <c r="E529" s="3" t="s">
        <v>2</v>
      </c>
      <c r="F529" s="3" t="s">
        <v>1233</v>
      </c>
      <c r="G529" s="3">
        <v>21845027</v>
      </c>
      <c r="H529" t="e">
        <f>VLOOKUP(G529,consolidado!$A$2:$B$656,2,FALSE)</f>
        <v>#N/A</v>
      </c>
    </row>
    <row r="530" spans="2:8" ht="17.399999999999999" hidden="1" customHeight="1">
      <c r="B530" s="4">
        <v>529</v>
      </c>
      <c r="C530" s="3" t="s">
        <v>1234</v>
      </c>
      <c r="D530" s="3" t="s">
        <v>1235</v>
      </c>
      <c r="E530" s="3" t="s">
        <v>106</v>
      </c>
      <c r="F530" s="3">
        <v>956562524</v>
      </c>
      <c r="G530" s="3">
        <v>21807868</v>
      </c>
      <c r="H530" t="e">
        <f>VLOOKUP(G530,consolidado!$A$2:$B$656,2,FALSE)</f>
        <v>#N/A</v>
      </c>
    </row>
    <row r="531" spans="2:8" ht="17.399999999999999" hidden="1" customHeight="1">
      <c r="B531" s="4">
        <v>530</v>
      </c>
      <c r="C531" s="3" t="s">
        <v>1236</v>
      </c>
      <c r="D531" s="3" t="s">
        <v>1237</v>
      </c>
      <c r="E531" s="3" t="s">
        <v>36</v>
      </c>
      <c r="F531" s="3">
        <v>952354023</v>
      </c>
      <c r="G531" s="3">
        <v>21850170</v>
      </c>
      <c r="H531" t="e">
        <f>VLOOKUP(G531,consolidado!$A$2:$B$656,2,FALSE)</f>
        <v>#N/A</v>
      </c>
    </row>
    <row r="532" spans="2:8" ht="17.399999999999999" hidden="1" customHeight="1">
      <c r="B532" s="4">
        <v>531</v>
      </c>
      <c r="C532" s="3" t="s">
        <v>1238</v>
      </c>
      <c r="D532" s="3" t="s">
        <v>1239</v>
      </c>
      <c r="E532" s="3" t="s">
        <v>846</v>
      </c>
      <c r="F532" s="3" t="s">
        <v>1240</v>
      </c>
      <c r="G532" s="3">
        <v>21829438</v>
      </c>
      <c r="H532" t="e">
        <f>VLOOKUP(G532,consolidado!$A$2:$B$656,2,FALSE)</f>
        <v>#N/A</v>
      </c>
    </row>
    <row r="533" spans="2:8" ht="17.399999999999999" hidden="1" customHeight="1">
      <c r="B533" s="4">
        <v>532</v>
      </c>
      <c r="C533" s="3" t="s">
        <v>1241</v>
      </c>
      <c r="D533" s="3" t="s">
        <v>1242</v>
      </c>
      <c r="E533" s="3" t="s">
        <v>22</v>
      </c>
      <c r="F533" s="3">
        <v>924542254</v>
      </c>
      <c r="G533" s="3">
        <v>21874178</v>
      </c>
      <c r="H533" t="e">
        <f>VLOOKUP(G533,consolidado!$A$2:$B$656,2,FALSE)</f>
        <v>#N/A</v>
      </c>
    </row>
    <row r="534" spans="2:8" ht="17.399999999999999" customHeight="1">
      <c r="B534" s="4">
        <v>533</v>
      </c>
      <c r="C534" s="3" t="s">
        <v>1243</v>
      </c>
      <c r="D534" s="3" t="s">
        <v>1244</v>
      </c>
      <c r="E534" s="3" t="s">
        <v>718</v>
      </c>
      <c r="F534" s="3" t="s">
        <v>1245</v>
      </c>
      <c r="G534" s="3">
        <v>21870818</v>
      </c>
      <c r="H534" t="e">
        <f>VLOOKUP(G534,consolidado!$A$2:$B$656,2,FALSE)</f>
        <v>#N/A</v>
      </c>
    </row>
    <row r="535" spans="2:8" ht="17.399999999999999" customHeight="1">
      <c r="B535" s="4">
        <v>534</v>
      </c>
      <c r="C535" s="3" t="s">
        <v>1246</v>
      </c>
      <c r="D535" s="3" t="s">
        <v>1247</v>
      </c>
      <c r="E535" s="3" t="s">
        <v>11</v>
      </c>
      <c r="F535" s="3">
        <v>962902103</v>
      </c>
      <c r="G535" s="3">
        <v>71479672</v>
      </c>
      <c r="H535" t="e">
        <f>VLOOKUP(G535,consolidado!$A$2:$B$656,2,FALSE)</f>
        <v>#N/A</v>
      </c>
    </row>
    <row r="536" spans="2:8" ht="17.399999999999999" customHeight="1">
      <c r="B536" s="4">
        <v>535</v>
      </c>
      <c r="C536" s="3" t="s">
        <v>1248</v>
      </c>
      <c r="D536" s="3" t="s">
        <v>1249</v>
      </c>
      <c r="E536" s="3" t="s">
        <v>126</v>
      </c>
      <c r="F536" s="1"/>
      <c r="G536" s="3">
        <v>45247751</v>
      </c>
      <c r="H536" t="e">
        <f>VLOOKUP(G536,consolidado!$A$2:$B$656,2,FALSE)</f>
        <v>#N/A</v>
      </c>
    </row>
    <row r="537" spans="2:8" ht="17.399999999999999" customHeight="1">
      <c r="B537" s="4">
        <v>536</v>
      </c>
      <c r="C537" s="3" t="s">
        <v>1250</v>
      </c>
      <c r="D537" s="3" t="s">
        <v>1251</v>
      </c>
      <c r="E537" s="3" t="s">
        <v>22</v>
      </c>
      <c r="F537" s="3">
        <v>992008034</v>
      </c>
      <c r="G537" s="3">
        <v>42557418</v>
      </c>
      <c r="H537" t="e">
        <f>VLOOKUP(G537,consolidado!$A$2:$B$656,2,FALSE)</f>
        <v>#N/A</v>
      </c>
    </row>
    <row r="538" spans="2:8" ht="17.399999999999999" hidden="1" customHeight="1">
      <c r="B538" s="4">
        <v>537</v>
      </c>
      <c r="C538" s="3" t="s">
        <v>1252</v>
      </c>
      <c r="D538" s="3" t="s">
        <v>1253</v>
      </c>
      <c r="E538" s="3" t="s">
        <v>126</v>
      </c>
      <c r="F538" s="3" t="s">
        <v>1254</v>
      </c>
      <c r="G538" s="3">
        <v>70249354</v>
      </c>
      <c r="H538" t="e">
        <f>VLOOKUP(G538,consolidado!$A$2:$B$656,2,FALSE)</f>
        <v>#N/A</v>
      </c>
    </row>
    <row r="539" spans="2:8" ht="17.399999999999999" hidden="1" customHeight="1">
      <c r="B539" s="4">
        <v>538</v>
      </c>
      <c r="C539" s="3" t="s">
        <v>1255</v>
      </c>
      <c r="D539" s="3" t="s">
        <v>1256</v>
      </c>
      <c r="E539" s="3" t="s">
        <v>1257</v>
      </c>
      <c r="F539" s="3" t="s">
        <v>1258</v>
      </c>
      <c r="G539" s="3">
        <v>45149626</v>
      </c>
      <c r="H539" t="e">
        <f>VLOOKUP(G539,consolidado!$A$2:$B$656,2,FALSE)</f>
        <v>#N/A</v>
      </c>
    </row>
    <row r="540" spans="2:8" ht="17.399999999999999" customHeight="1">
      <c r="B540" s="4">
        <v>539</v>
      </c>
      <c r="C540" s="3" t="s">
        <v>1259</v>
      </c>
      <c r="D540" s="3" t="s">
        <v>1260</v>
      </c>
      <c r="E540" s="3" t="s">
        <v>317</v>
      </c>
      <c r="F540" s="3">
        <v>918717283</v>
      </c>
      <c r="G540" s="3">
        <v>21834851</v>
      </c>
      <c r="H540" t="e">
        <f>VLOOKUP(G540,consolidado!$A$2:$B$656,2,FALSE)</f>
        <v>#N/A</v>
      </c>
    </row>
    <row r="541" spans="2:8" ht="17.399999999999999" hidden="1" customHeight="1">
      <c r="B541" s="4">
        <v>540</v>
      </c>
      <c r="C541" s="3" t="s">
        <v>1261</v>
      </c>
      <c r="D541" s="3" t="s">
        <v>1262</v>
      </c>
      <c r="E541" s="3" t="s">
        <v>126</v>
      </c>
      <c r="F541" s="3" t="s">
        <v>1263</v>
      </c>
      <c r="G541" s="3">
        <v>43220061</v>
      </c>
      <c r="H541" t="e">
        <f>VLOOKUP(G541,consolidado!$A$2:$B$656,2,FALSE)</f>
        <v>#N/A</v>
      </c>
    </row>
    <row r="542" spans="2:8" ht="17.399999999999999" customHeight="1">
      <c r="B542" s="4">
        <v>541</v>
      </c>
      <c r="C542" s="3" t="s">
        <v>1264</v>
      </c>
      <c r="D542" s="3" t="s">
        <v>1265</v>
      </c>
      <c r="E542" s="3" t="s">
        <v>11</v>
      </c>
      <c r="F542" s="3" t="s">
        <v>1266</v>
      </c>
      <c r="G542" s="3">
        <v>21830368</v>
      </c>
      <c r="H542" t="e">
        <f>VLOOKUP(G542,consolidado!$A$2:$B$656,2,FALSE)</f>
        <v>#N/A</v>
      </c>
    </row>
    <row r="543" spans="2:8" ht="17.399999999999999" customHeight="1">
      <c r="B543" s="4">
        <v>542</v>
      </c>
      <c r="C543" s="3" t="s">
        <v>1267</v>
      </c>
      <c r="D543" s="3" t="s">
        <v>1268</v>
      </c>
      <c r="E543" s="3" t="s">
        <v>11</v>
      </c>
      <c r="F543" s="3">
        <v>937683979</v>
      </c>
      <c r="G543" s="3">
        <v>70260176</v>
      </c>
      <c r="H543" t="e">
        <f>VLOOKUP(G543,consolidado!$A$2:$B$656,2,FALSE)</f>
        <v>#N/A</v>
      </c>
    </row>
    <row r="544" spans="2:8" ht="17.399999999999999" customHeight="1">
      <c r="B544" s="4">
        <v>543</v>
      </c>
      <c r="C544" s="3" t="s">
        <v>1269</v>
      </c>
      <c r="D544" s="3" t="s">
        <v>1270</v>
      </c>
      <c r="E544" s="3" t="s">
        <v>230</v>
      </c>
      <c r="F544" s="3">
        <v>907538170</v>
      </c>
      <c r="G544" s="3">
        <v>21885325</v>
      </c>
      <c r="H544" t="e">
        <f>VLOOKUP(G544,consolidado!$A$2:$B$656,2,FALSE)</f>
        <v>#N/A</v>
      </c>
    </row>
    <row r="545" spans="2:8" ht="17.399999999999999" hidden="1" customHeight="1">
      <c r="B545" s="4">
        <v>544</v>
      </c>
      <c r="C545" s="3" t="s">
        <v>1271</v>
      </c>
      <c r="D545" s="3" t="s">
        <v>1272</v>
      </c>
      <c r="E545" s="3" t="s">
        <v>126</v>
      </c>
      <c r="F545" s="3">
        <v>904232510</v>
      </c>
      <c r="G545" s="3">
        <v>21869888</v>
      </c>
      <c r="H545" t="e">
        <f>VLOOKUP(G545,consolidado!$A$2:$B$656,2,FALSE)</f>
        <v>#N/A</v>
      </c>
    </row>
    <row r="546" spans="2:8" ht="17.399999999999999" customHeight="1">
      <c r="B546" s="4">
        <v>545</v>
      </c>
      <c r="C546" s="3" t="s">
        <v>1273</v>
      </c>
      <c r="D546" s="3" t="s">
        <v>1274</v>
      </c>
      <c r="E546" s="3" t="s">
        <v>36</v>
      </c>
      <c r="F546" s="3" t="s">
        <v>1275</v>
      </c>
      <c r="G546" s="3">
        <v>48441618</v>
      </c>
      <c r="H546" t="e">
        <f>VLOOKUP(G546,consolidado!$A$2:$B$656,2,FALSE)</f>
        <v>#N/A</v>
      </c>
    </row>
    <row r="547" spans="2:8" ht="17.399999999999999" customHeight="1">
      <c r="B547" s="4">
        <v>546</v>
      </c>
      <c r="C547" s="3" t="s">
        <v>1276</v>
      </c>
      <c r="D547" s="3" t="s">
        <v>1277</v>
      </c>
      <c r="E547" s="3" t="s">
        <v>846</v>
      </c>
      <c r="F547" s="3">
        <v>953607996</v>
      </c>
      <c r="G547" s="3">
        <v>41004968</v>
      </c>
      <c r="H547" t="e">
        <f>VLOOKUP(G547,consolidado!$A$2:$B$656,2,FALSE)</f>
        <v>#N/A</v>
      </c>
    </row>
    <row r="548" spans="2:8" ht="17.399999999999999" customHeight="1">
      <c r="B548" s="4">
        <v>547</v>
      </c>
      <c r="C548" s="3" t="s">
        <v>1278</v>
      </c>
      <c r="D548" s="3" t="s">
        <v>1279</v>
      </c>
      <c r="E548" s="3" t="s">
        <v>106</v>
      </c>
      <c r="F548" s="3">
        <v>941944410</v>
      </c>
      <c r="G548" s="3">
        <v>21864471</v>
      </c>
      <c r="H548" t="e">
        <f>VLOOKUP(G548,consolidado!$A$2:$B$656,2,FALSE)</f>
        <v>#N/A</v>
      </c>
    </row>
    <row r="549" spans="2:8" ht="17.399999999999999" customHeight="1">
      <c r="B549" s="4">
        <v>548</v>
      </c>
      <c r="C549" s="3" t="s">
        <v>1280</v>
      </c>
      <c r="D549" s="3" t="s">
        <v>1281</v>
      </c>
      <c r="E549" s="3" t="s">
        <v>71</v>
      </c>
      <c r="F549" s="3">
        <v>997600039</v>
      </c>
      <c r="G549" s="3">
        <v>47385982</v>
      </c>
      <c r="H549" t="e">
        <f>VLOOKUP(G549,consolidado!$A$2:$B$656,2,FALSE)</f>
        <v>#N/A</v>
      </c>
    </row>
    <row r="550" spans="2:8" ht="17.399999999999999" customHeight="1">
      <c r="B550" s="4">
        <v>549</v>
      </c>
      <c r="C550" s="3" t="s">
        <v>1282</v>
      </c>
      <c r="D550" s="3" t="s">
        <v>1283</v>
      </c>
      <c r="E550" s="3" t="s">
        <v>8</v>
      </c>
      <c r="F550" s="3">
        <v>955158903</v>
      </c>
      <c r="G550" s="3">
        <v>75985857</v>
      </c>
      <c r="H550" t="e">
        <f>VLOOKUP(G550,consolidado!$A$2:$B$656,2,FALSE)</f>
        <v>#N/A</v>
      </c>
    </row>
    <row r="551" spans="2:8" ht="17.399999999999999" customHeight="1">
      <c r="B551" s="4">
        <v>550</v>
      </c>
      <c r="C551" s="3" t="s">
        <v>1284</v>
      </c>
      <c r="D551" s="3" t="s">
        <v>1285</v>
      </c>
      <c r="E551" s="3" t="s">
        <v>8</v>
      </c>
      <c r="F551" s="3">
        <v>986174876</v>
      </c>
      <c r="G551" s="3">
        <v>40405047</v>
      </c>
      <c r="H551" t="e">
        <f>VLOOKUP(G551,consolidado!$A$2:$B$656,2,FALSE)</f>
        <v>#N/A</v>
      </c>
    </row>
    <row r="552" spans="2:8" ht="17.399999999999999" hidden="1" customHeight="1">
      <c r="B552" s="4">
        <v>551</v>
      </c>
      <c r="C552" s="3" t="s">
        <v>1286</v>
      </c>
      <c r="D552" s="3" t="s">
        <v>1287</v>
      </c>
      <c r="E552" s="3" t="s">
        <v>846</v>
      </c>
      <c r="F552" s="3">
        <v>932904801</v>
      </c>
      <c r="G552" s="3">
        <v>40866289</v>
      </c>
      <c r="H552" t="e">
        <f>VLOOKUP(G552,consolidado!$A$2:$B$656,2,FALSE)</f>
        <v>#N/A</v>
      </c>
    </row>
    <row r="553" spans="2:8" ht="17.399999999999999" customHeight="1">
      <c r="B553" s="4">
        <v>552</v>
      </c>
      <c r="C553" s="3" t="s">
        <v>1288</v>
      </c>
      <c r="D553" s="3" t="s">
        <v>1289</v>
      </c>
      <c r="E553" s="3" t="s">
        <v>718</v>
      </c>
      <c r="F553" s="3">
        <v>954670384</v>
      </c>
      <c r="G553" s="3">
        <v>21876735</v>
      </c>
      <c r="H553" t="e">
        <f>VLOOKUP(G553,consolidado!$A$2:$B$656,2,FALSE)</f>
        <v>#N/A</v>
      </c>
    </row>
    <row r="554" spans="2:8" ht="17.399999999999999" customHeight="1">
      <c r="B554" s="4">
        <v>553</v>
      </c>
      <c r="C554" s="3" t="s">
        <v>1290</v>
      </c>
      <c r="D554" s="3" t="s">
        <v>1291</v>
      </c>
      <c r="E554" s="3" t="s">
        <v>846</v>
      </c>
      <c r="F554" s="3" t="s">
        <v>1292</v>
      </c>
      <c r="G554" s="3">
        <v>71479657</v>
      </c>
      <c r="H554" t="e">
        <f>VLOOKUP(G554,consolidado!$A$2:$B$656,2,FALSE)</f>
        <v>#N/A</v>
      </c>
    </row>
    <row r="555" spans="2:8" ht="17.399999999999999" customHeight="1">
      <c r="B555" s="4">
        <v>554</v>
      </c>
      <c r="C555" s="3" t="s">
        <v>1293</v>
      </c>
      <c r="D555" s="3" t="s">
        <v>1294</v>
      </c>
      <c r="E555" s="3" t="s">
        <v>36</v>
      </c>
      <c r="F555" s="3">
        <v>952031848</v>
      </c>
      <c r="G555" s="3">
        <v>21846042</v>
      </c>
      <c r="H555" t="e">
        <f>VLOOKUP(G555,consolidado!$A$2:$B$656,2,FALSE)</f>
        <v>#N/A</v>
      </c>
    </row>
    <row r="556" spans="2:8" ht="17.399999999999999" hidden="1" customHeight="1">
      <c r="B556" s="4">
        <v>555</v>
      </c>
      <c r="C556" s="3" t="s">
        <v>1295</v>
      </c>
      <c r="D556" s="3" t="s">
        <v>1296</v>
      </c>
      <c r="E556" s="3" t="s">
        <v>765</v>
      </c>
      <c r="F556" s="3">
        <v>924422788</v>
      </c>
      <c r="G556" s="3">
        <v>21794408</v>
      </c>
      <c r="H556" t="e">
        <f>VLOOKUP(G556,consolidado!$A$2:$B$656,2,FALSE)</f>
        <v>#N/A</v>
      </c>
    </row>
    <row r="557" spans="2:8" ht="17.399999999999999" customHeight="1">
      <c r="B557" s="4">
        <v>556</v>
      </c>
      <c r="C557" s="3" t="s">
        <v>1297</v>
      </c>
      <c r="D557" s="3" t="s">
        <v>1298</v>
      </c>
      <c r="E557" s="3" t="s">
        <v>846</v>
      </c>
      <c r="F557" s="3">
        <v>968927286</v>
      </c>
      <c r="G557" s="3">
        <v>45494884</v>
      </c>
      <c r="H557" t="e">
        <f>VLOOKUP(G557,consolidado!$A$2:$B$656,2,FALSE)</f>
        <v>#N/A</v>
      </c>
    </row>
    <row r="558" spans="2:8" ht="17.399999999999999" hidden="1" customHeight="1">
      <c r="B558" s="4">
        <v>557</v>
      </c>
      <c r="C558" s="3" t="s">
        <v>1299</v>
      </c>
      <c r="D558" s="3" t="s">
        <v>1300</v>
      </c>
      <c r="E558" s="3" t="s">
        <v>718</v>
      </c>
      <c r="F558" s="3">
        <v>912863678</v>
      </c>
      <c r="G558" s="3">
        <v>46996225</v>
      </c>
      <c r="H558" t="e">
        <f>VLOOKUP(G558,consolidado!$A$2:$B$656,2,FALSE)</f>
        <v>#N/A</v>
      </c>
    </row>
    <row r="559" spans="2:8" ht="17.399999999999999" customHeight="1">
      <c r="B559" s="4">
        <v>558</v>
      </c>
      <c r="C559" s="3" t="s">
        <v>1301</v>
      </c>
      <c r="D559" s="3" t="s">
        <v>1302</v>
      </c>
      <c r="E559" s="3" t="s">
        <v>846</v>
      </c>
      <c r="F559" s="3">
        <v>923818108</v>
      </c>
      <c r="G559" s="3">
        <v>45456776</v>
      </c>
      <c r="H559" t="e">
        <f>VLOOKUP(G559,consolidado!$A$2:$B$656,2,FALSE)</f>
        <v>#N/A</v>
      </c>
    </row>
    <row r="560" spans="2:8" ht="17.399999999999999" customHeight="1">
      <c r="B560" s="4">
        <v>559</v>
      </c>
      <c r="C560" s="3" t="s">
        <v>1303</v>
      </c>
      <c r="D560" s="3" t="s">
        <v>1304</v>
      </c>
      <c r="E560" s="3" t="s">
        <v>710</v>
      </c>
      <c r="F560" s="3">
        <v>945804342</v>
      </c>
      <c r="G560" s="3">
        <v>21860488</v>
      </c>
      <c r="H560" t="e">
        <f>VLOOKUP(G560,consolidado!$A$2:$B$656,2,FALSE)</f>
        <v>#N/A</v>
      </c>
    </row>
    <row r="561" spans="2:8" ht="17.399999999999999" hidden="1" customHeight="1">
      <c r="B561" s="4">
        <v>560</v>
      </c>
      <c r="C561" s="3" t="s">
        <v>1305</v>
      </c>
      <c r="D561" s="3" t="s">
        <v>1306</v>
      </c>
      <c r="E561" s="3" t="s">
        <v>2</v>
      </c>
      <c r="F561" s="3">
        <v>975067710</v>
      </c>
      <c r="G561" s="3">
        <v>44411741</v>
      </c>
      <c r="H561" t="e">
        <f>VLOOKUP(G561,consolidado!$A$2:$B$656,2,FALSE)</f>
        <v>#N/A</v>
      </c>
    </row>
    <row r="562" spans="2:8" ht="17.399999999999999" hidden="1" customHeight="1">
      <c r="B562" s="4">
        <v>561</v>
      </c>
      <c r="C562" s="3" t="s">
        <v>1307</v>
      </c>
      <c r="D562" s="3" t="s">
        <v>1308</v>
      </c>
      <c r="E562" s="3" t="s">
        <v>1106</v>
      </c>
      <c r="F562" s="3">
        <v>933513255</v>
      </c>
      <c r="G562" s="3">
        <v>21815544</v>
      </c>
      <c r="H562" t="e">
        <f>VLOOKUP(G562,consolidado!$A$2:$B$656,2,FALSE)</f>
        <v>#N/A</v>
      </c>
    </row>
    <row r="563" spans="2:8" ht="17.399999999999999" customHeight="1">
      <c r="B563" s="4">
        <v>562</v>
      </c>
      <c r="C563" s="3" t="s">
        <v>1309</v>
      </c>
      <c r="D563" s="3" t="s">
        <v>1310</v>
      </c>
      <c r="E563" s="3" t="s">
        <v>8</v>
      </c>
      <c r="F563" s="3" t="s">
        <v>1311</v>
      </c>
      <c r="G563" s="3">
        <v>21873758</v>
      </c>
      <c r="H563" t="e">
        <f>VLOOKUP(G563,consolidado!$A$2:$B$656,2,FALSE)</f>
        <v>#N/A</v>
      </c>
    </row>
    <row r="564" spans="2:8" ht="17.399999999999999" customHeight="1">
      <c r="B564" s="4">
        <v>563</v>
      </c>
      <c r="C564" s="3" t="s">
        <v>1312</v>
      </c>
      <c r="D564" s="3" t="s">
        <v>1313</v>
      </c>
      <c r="E564" s="3" t="s">
        <v>317</v>
      </c>
      <c r="F564" s="3">
        <v>954979068</v>
      </c>
      <c r="G564" s="3">
        <v>70170364</v>
      </c>
      <c r="H564" t="e">
        <f>VLOOKUP(G564,consolidado!$A$2:$B$656,2,FALSE)</f>
        <v>#N/A</v>
      </c>
    </row>
    <row r="565" spans="2:8" ht="17.399999999999999" customHeight="1">
      <c r="B565" s="4">
        <v>564</v>
      </c>
      <c r="C565" s="3" t="s">
        <v>1314</v>
      </c>
      <c r="D565" s="3" t="s">
        <v>1315</v>
      </c>
      <c r="E565" s="3" t="s">
        <v>36</v>
      </c>
      <c r="F565" s="3">
        <v>912095908</v>
      </c>
      <c r="G565" s="3">
        <v>73175109</v>
      </c>
      <c r="H565" t="e">
        <f>VLOOKUP(G565,consolidado!$A$2:$B$656,2,FALSE)</f>
        <v>#N/A</v>
      </c>
    </row>
    <row r="566" spans="2:8" ht="17.399999999999999" hidden="1" customHeight="1">
      <c r="B566" s="4">
        <v>565</v>
      </c>
      <c r="C566" s="3" t="s">
        <v>1316</v>
      </c>
      <c r="D566" s="3" t="s">
        <v>1317</v>
      </c>
      <c r="E566" s="3" t="s">
        <v>135</v>
      </c>
      <c r="F566" s="3">
        <v>968682700</v>
      </c>
      <c r="G566" s="3">
        <v>21854794</v>
      </c>
      <c r="H566" t="e">
        <f>VLOOKUP(G566,consolidado!$A$2:$B$656,2,FALSE)</f>
        <v>#N/A</v>
      </c>
    </row>
    <row r="567" spans="2:8" ht="17.399999999999999" hidden="1" customHeight="1">
      <c r="B567" s="4">
        <v>566</v>
      </c>
      <c r="C567" s="3" t="s">
        <v>1318</v>
      </c>
      <c r="D567" s="3" t="s">
        <v>1319</v>
      </c>
      <c r="E567" s="3" t="s">
        <v>126</v>
      </c>
      <c r="F567" s="3">
        <v>965161138</v>
      </c>
      <c r="G567" s="3">
        <v>41538473</v>
      </c>
      <c r="H567" t="e">
        <f>VLOOKUP(G567,consolidado!$A$2:$B$656,2,FALSE)</f>
        <v>#N/A</v>
      </c>
    </row>
    <row r="568" spans="2:8" ht="17.399999999999999" hidden="1" customHeight="1">
      <c r="B568" s="4">
        <v>567</v>
      </c>
      <c r="C568" s="3" t="s">
        <v>1320</v>
      </c>
      <c r="D568" s="3" t="s">
        <v>1321</v>
      </c>
      <c r="E568" s="3" t="s">
        <v>1257</v>
      </c>
      <c r="F568" s="3">
        <v>984607910</v>
      </c>
      <c r="G568" s="3">
        <v>44818839</v>
      </c>
      <c r="H568" t="e">
        <f>VLOOKUP(G568,consolidado!$A$2:$B$656,2,FALSE)</f>
        <v>#N/A</v>
      </c>
    </row>
    <row r="569" spans="2:8" ht="17.399999999999999" hidden="1" customHeight="1">
      <c r="B569" s="4">
        <v>568</v>
      </c>
      <c r="C569" s="3" t="s">
        <v>1322</v>
      </c>
      <c r="D569" s="3" t="s">
        <v>1323</v>
      </c>
      <c r="E569" s="3" t="s">
        <v>1257</v>
      </c>
      <c r="F569" s="3" t="s">
        <v>1324</v>
      </c>
      <c r="G569" s="3">
        <v>70507481</v>
      </c>
      <c r="H569" t="e">
        <f>VLOOKUP(G569,consolidado!$A$2:$B$656,2,FALSE)</f>
        <v>#N/A</v>
      </c>
    </row>
    <row r="570" spans="2:8" ht="17.399999999999999" hidden="1" customHeight="1">
      <c r="B570" s="4">
        <v>569</v>
      </c>
      <c r="C570" s="3" t="s">
        <v>1325</v>
      </c>
      <c r="D570" s="3" t="s">
        <v>1326</v>
      </c>
      <c r="E570" s="3" t="s">
        <v>5</v>
      </c>
      <c r="F570" s="3" t="s">
        <v>1327</v>
      </c>
      <c r="G570" s="3">
        <v>71817032</v>
      </c>
      <c r="H570" t="e">
        <f>VLOOKUP(G570,consolidado!$A$2:$B$656,2,FALSE)</f>
        <v>#N/A</v>
      </c>
    </row>
    <row r="571" spans="2:8" ht="17.399999999999999" customHeight="1">
      <c r="B571" s="4">
        <v>570</v>
      </c>
      <c r="C571" s="3" t="s">
        <v>1328</v>
      </c>
      <c r="D571" s="3" t="s">
        <v>1329</v>
      </c>
      <c r="E571" s="3" t="s">
        <v>27</v>
      </c>
      <c r="F571" s="3">
        <v>966400170</v>
      </c>
      <c r="G571" s="3">
        <v>43904606</v>
      </c>
      <c r="H571" t="e">
        <f>VLOOKUP(G571,consolidado!$A$2:$B$656,2,FALSE)</f>
        <v>#N/A</v>
      </c>
    </row>
    <row r="572" spans="2:8" ht="17.399999999999999" hidden="1" customHeight="1">
      <c r="B572" s="4">
        <v>571</v>
      </c>
      <c r="C572" s="3" t="s">
        <v>1330</v>
      </c>
      <c r="D572" s="3" t="s">
        <v>1331</v>
      </c>
      <c r="E572" s="3" t="s">
        <v>11</v>
      </c>
      <c r="F572" s="3">
        <v>943735454</v>
      </c>
      <c r="G572" s="3">
        <v>76307312</v>
      </c>
      <c r="H572" t="e">
        <f>VLOOKUP(G572,consolidado!$A$2:$B$656,2,FALSE)</f>
        <v>#N/A</v>
      </c>
    </row>
    <row r="573" spans="2:8" ht="17.399999999999999" hidden="1" customHeight="1">
      <c r="B573" s="4">
        <v>572</v>
      </c>
      <c r="C573" s="3" t="s">
        <v>1332</v>
      </c>
      <c r="D573" s="3" t="s">
        <v>1333</v>
      </c>
      <c r="E573" s="3" t="s">
        <v>1257</v>
      </c>
      <c r="F573" s="3">
        <v>978934930</v>
      </c>
      <c r="G573" s="3">
        <v>21818918</v>
      </c>
      <c r="H573" t="e">
        <f>VLOOKUP(G573,consolidado!$A$2:$B$656,2,FALSE)</f>
        <v>#N/A</v>
      </c>
    </row>
    <row r="574" spans="2:8" ht="17.399999999999999" customHeight="1">
      <c r="B574" s="4">
        <v>573</v>
      </c>
      <c r="C574" s="3" t="s">
        <v>1334</v>
      </c>
      <c r="D574" s="3" t="s">
        <v>1335</v>
      </c>
      <c r="E574" s="3" t="s">
        <v>11</v>
      </c>
      <c r="F574" s="1"/>
      <c r="G574" s="3">
        <v>47328216</v>
      </c>
      <c r="H574" t="e">
        <f>VLOOKUP(G574,consolidado!$A$2:$B$656,2,FALSE)</f>
        <v>#N/A</v>
      </c>
    </row>
    <row r="575" spans="2:8" ht="17.399999999999999" customHeight="1">
      <c r="B575" s="4">
        <v>574</v>
      </c>
      <c r="C575" s="3" t="s">
        <v>1336</v>
      </c>
      <c r="D575" s="3" t="s">
        <v>1337</v>
      </c>
      <c r="E575" s="3" t="s">
        <v>846</v>
      </c>
      <c r="F575" s="3">
        <v>962662710</v>
      </c>
      <c r="G575" s="3">
        <v>72517105</v>
      </c>
      <c r="H575" t="e">
        <f>VLOOKUP(G575,consolidado!$A$2:$B$656,2,FALSE)</f>
        <v>#N/A</v>
      </c>
    </row>
    <row r="576" spans="2:8" ht="17.399999999999999" customHeight="1">
      <c r="B576" s="4">
        <v>575</v>
      </c>
      <c r="C576" s="3" t="s">
        <v>1338</v>
      </c>
      <c r="D576" s="3" t="s">
        <v>1339</v>
      </c>
      <c r="E576" s="3" t="s">
        <v>36</v>
      </c>
      <c r="F576" s="3">
        <v>938140936</v>
      </c>
      <c r="G576" s="3">
        <v>41314183</v>
      </c>
      <c r="H576" t="e">
        <f>VLOOKUP(G576,consolidado!$A$2:$B$656,2,FALSE)</f>
        <v>#N/A</v>
      </c>
    </row>
    <row r="577" spans="2:8" ht="17.399999999999999" hidden="1" customHeight="1">
      <c r="B577" s="4">
        <v>576</v>
      </c>
      <c r="C577" s="3" t="s">
        <v>1340</v>
      </c>
      <c r="D577" s="3" t="s">
        <v>1341</v>
      </c>
      <c r="E577" s="3" t="s">
        <v>14</v>
      </c>
      <c r="F577" s="3">
        <v>941392345</v>
      </c>
      <c r="G577" s="3">
        <v>45048639</v>
      </c>
      <c r="H577" t="e">
        <f>VLOOKUP(G577,consolidado!$A$2:$B$656,2,FALSE)</f>
        <v>#N/A</v>
      </c>
    </row>
    <row r="578" spans="2:8" ht="17.399999999999999" customHeight="1">
      <c r="B578" s="4">
        <v>577</v>
      </c>
      <c r="C578" s="3" t="s">
        <v>1342</v>
      </c>
      <c r="D578" s="3" t="s">
        <v>1343</v>
      </c>
      <c r="E578" s="3" t="s">
        <v>718</v>
      </c>
      <c r="F578" s="3">
        <v>912471130</v>
      </c>
      <c r="G578" s="3">
        <v>21871491</v>
      </c>
      <c r="H578" t="e">
        <f>VLOOKUP(G578,consolidado!$A$2:$B$656,2,FALSE)</f>
        <v>#N/A</v>
      </c>
    </row>
    <row r="579" spans="2:8" ht="17.399999999999999" customHeight="1">
      <c r="B579" s="4">
        <v>578</v>
      </c>
      <c r="C579" s="3" t="s">
        <v>1344</v>
      </c>
      <c r="D579" s="3" t="s">
        <v>1345</v>
      </c>
      <c r="E579" s="3" t="s">
        <v>11</v>
      </c>
      <c r="F579" s="3">
        <v>912643870</v>
      </c>
      <c r="G579" s="3">
        <v>21830636</v>
      </c>
      <c r="H579" t="e">
        <f>VLOOKUP(G579,consolidado!$A$2:$B$656,2,FALSE)</f>
        <v>#N/A</v>
      </c>
    </row>
    <row r="580" spans="2:8" ht="17.399999999999999" customHeight="1">
      <c r="B580" s="4">
        <v>579</v>
      </c>
      <c r="C580" s="3" t="s">
        <v>1346</v>
      </c>
      <c r="D580" s="3" t="s">
        <v>1347</v>
      </c>
      <c r="E580" s="3" t="s">
        <v>710</v>
      </c>
      <c r="F580" s="3">
        <v>981972951</v>
      </c>
      <c r="G580" s="3">
        <v>41731389</v>
      </c>
      <c r="H580" t="e">
        <f>VLOOKUP(G580,consolidado!$A$2:$B$656,2,FALSE)</f>
        <v>#N/A</v>
      </c>
    </row>
    <row r="581" spans="2:8" ht="17.399999999999999" customHeight="1">
      <c r="B581" s="4">
        <v>580</v>
      </c>
      <c r="C581" s="3" t="s">
        <v>1348</v>
      </c>
      <c r="D581" s="3" t="s">
        <v>1349</v>
      </c>
      <c r="E581" s="3" t="s">
        <v>1106</v>
      </c>
      <c r="F581" s="3">
        <v>964036227</v>
      </c>
      <c r="G581" s="3" t="s">
        <v>1350</v>
      </c>
      <c r="H581" t="e">
        <f>VLOOKUP(G581,consolidado!$A$2:$B$656,2,FALSE)</f>
        <v>#N/A</v>
      </c>
    </row>
    <row r="582" spans="2:8" ht="17.399999999999999" customHeight="1">
      <c r="B582" s="4">
        <v>581</v>
      </c>
      <c r="C582" s="3" t="s">
        <v>1351</v>
      </c>
      <c r="D582" s="3" t="s">
        <v>1352</v>
      </c>
      <c r="E582" s="3" t="s">
        <v>106</v>
      </c>
      <c r="F582" s="3">
        <v>947368143</v>
      </c>
      <c r="G582" s="3">
        <v>72691623</v>
      </c>
      <c r="H582" t="e">
        <f>VLOOKUP(G582,consolidado!$A$2:$B$656,2,FALSE)</f>
        <v>#N/A</v>
      </c>
    </row>
    <row r="583" spans="2:8" ht="17.399999999999999" customHeight="1">
      <c r="B583" s="4">
        <v>582</v>
      </c>
      <c r="C583" s="3" t="s">
        <v>1353</v>
      </c>
      <c r="D583" s="3" t="s">
        <v>1354</v>
      </c>
      <c r="E583" s="3" t="s">
        <v>710</v>
      </c>
      <c r="F583" s="3">
        <v>997130640</v>
      </c>
      <c r="G583" s="3">
        <v>21884439</v>
      </c>
      <c r="H583" t="e">
        <f>VLOOKUP(G583,consolidado!$A$2:$B$656,2,FALSE)</f>
        <v>#N/A</v>
      </c>
    </row>
    <row r="584" spans="2:8" ht="17.399999999999999" customHeight="1">
      <c r="B584" s="4">
        <v>583</v>
      </c>
      <c r="C584" s="3" t="s">
        <v>1355</v>
      </c>
      <c r="D584" s="3" t="s">
        <v>1356</v>
      </c>
      <c r="E584" s="3" t="s">
        <v>846</v>
      </c>
      <c r="F584" s="3">
        <v>945513880</v>
      </c>
      <c r="G584" s="3">
        <v>42434792</v>
      </c>
      <c r="H584" t="e">
        <f>VLOOKUP(G584,consolidado!$A$2:$B$656,2,FALSE)</f>
        <v>#N/A</v>
      </c>
    </row>
    <row r="585" spans="2:8" ht="17.399999999999999" customHeight="1">
      <c r="B585" s="4">
        <v>584</v>
      </c>
      <c r="C585" s="3" t="s">
        <v>1357</v>
      </c>
      <c r="D585" s="3" t="s">
        <v>1358</v>
      </c>
      <c r="E585" s="3" t="s">
        <v>19</v>
      </c>
      <c r="F585" s="3">
        <v>970113625</v>
      </c>
      <c r="G585" s="3">
        <v>21857504</v>
      </c>
      <c r="H585" t="e">
        <f>VLOOKUP(G585,consolidado!$A$2:$B$656,2,FALSE)</f>
        <v>#N/A</v>
      </c>
    </row>
    <row r="586" spans="2:8" ht="17.399999999999999" customHeight="1">
      <c r="B586" s="4">
        <v>585</v>
      </c>
      <c r="C586" s="3" t="s">
        <v>1359</v>
      </c>
      <c r="D586" s="3" t="s">
        <v>1360</v>
      </c>
      <c r="E586" s="3" t="s">
        <v>596</v>
      </c>
      <c r="F586" s="3" t="s">
        <v>1361</v>
      </c>
      <c r="G586" s="3">
        <v>21835396</v>
      </c>
      <c r="H586" t="e">
        <f>VLOOKUP(G586,consolidado!$A$2:$B$656,2,FALSE)</f>
        <v>#N/A</v>
      </c>
    </row>
    <row r="587" spans="2:8" ht="17.399999999999999" customHeight="1">
      <c r="B587" s="4">
        <v>586</v>
      </c>
      <c r="C587" s="3" t="s">
        <v>1362</v>
      </c>
      <c r="D587" s="3" t="s">
        <v>1363</v>
      </c>
      <c r="E587" s="3" t="s">
        <v>710</v>
      </c>
      <c r="F587" s="3">
        <v>971812626</v>
      </c>
      <c r="G587" s="3">
        <v>44249110</v>
      </c>
      <c r="H587" t="e">
        <f>VLOOKUP(G587,consolidado!$A$2:$B$656,2,FALSE)</f>
        <v>#N/A</v>
      </c>
    </row>
    <row r="588" spans="2:8" ht="17.399999999999999" customHeight="1">
      <c r="B588" s="4">
        <v>587</v>
      </c>
      <c r="C588" s="3" t="s">
        <v>1364</v>
      </c>
      <c r="D588" s="3" t="s">
        <v>1365</v>
      </c>
      <c r="E588" s="3" t="s">
        <v>14</v>
      </c>
      <c r="F588" s="3">
        <v>907480123</v>
      </c>
      <c r="G588" s="3">
        <v>21509649</v>
      </c>
      <c r="H588" t="e">
        <f>VLOOKUP(G588,consolidado!$A$2:$B$656,2,FALSE)</f>
        <v>#N/A</v>
      </c>
    </row>
    <row r="589" spans="2:8" ht="17.399999999999999" hidden="1" customHeight="1">
      <c r="B589" s="4">
        <v>588</v>
      </c>
      <c r="C589" s="3" t="s">
        <v>1366</v>
      </c>
      <c r="D589" s="3" t="s">
        <v>1367</v>
      </c>
      <c r="E589" s="3" t="s">
        <v>846</v>
      </c>
      <c r="F589" s="3">
        <v>943285509</v>
      </c>
      <c r="G589" s="3">
        <v>21812467</v>
      </c>
      <c r="H589" t="e">
        <f>VLOOKUP(G589,consolidado!$A$2:$B$656,2,FALSE)</f>
        <v>#N/A</v>
      </c>
    </row>
    <row r="590" spans="2:8" ht="17.399999999999999" customHeight="1">
      <c r="B590" s="4">
        <v>589</v>
      </c>
      <c r="C590" s="3" t="s">
        <v>1368</v>
      </c>
      <c r="D590" s="3" t="s">
        <v>1369</v>
      </c>
      <c r="E590" s="3" t="s">
        <v>230</v>
      </c>
      <c r="F590" s="3">
        <v>902338830</v>
      </c>
      <c r="G590" s="3">
        <v>71908868</v>
      </c>
      <c r="H590" t="e">
        <f>VLOOKUP(G590,consolidado!$A$2:$B$656,2,FALSE)</f>
        <v>#N/A</v>
      </c>
    </row>
    <row r="591" spans="2:8" ht="17.399999999999999" hidden="1" customHeight="1">
      <c r="B591" s="4">
        <v>590</v>
      </c>
      <c r="C591" s="3" t="s">
        <v>1370</v>
      </c>
      <c r="D591" s="3" t="s">
        <v>1371</v>
      </c>
      <c r="E591" s="3" t="s">
        <v>1372</v>
      </c>
      <c r="F591" s="3">
        <v>902247802</v>
      </c>
      <c r="G591" s="3">
        <v>75800208</v>
      </c>
      <c r="H591" t="e">
        <f>VLOOKUP(G591,consolidado!$A$2:$B$656,2,FALSE)</f>
        <v>#N/A</v>
      </c>
    </row>
    <row r="592" spans="2:8" ht="17.399999999999999" hidden="1" customHeight="1">
      <c r="B592" s="4">
        <v>591</v>
      </c>
      <c r="C592" s="3" t="s">
        <v>1373</v>
      </c>
      <c r="D592" s="3" t="s">
        <v>1374</v>
      </c>
      <c r="E592" s="3" t="s">
        <v>710</v>
      </c>
      <c r="F592" s="3">
        <v>984399198</v>
      </c>
      <c r="G592" s="3">
        <v>21792478</v>
      </c>
      <c r="H592" t="e">
        <f>VLOOKUP(G592,consolidado!$A$2:$B$656,2,FALSE)</f>
        <v>#N/A</v>
      </c>
    </row>
    <row r="593" spans="2:8" ht="17.399999999999999" hidden="1" customHeight="1">
      <c r="B593" s="4">
        <v>592</v>
      </c>
      <c r="C593" s="3" t="s">
        <v>1375</v>
      </c>
      <c r="D593" s="3" t="s">
        <v>1376</v>
      </c>
      <c r="E593" s="3" t="s">
        <v>22</v>
      </c>
      <c r="F593" s="3">
        <v>956835450</v>
      </c>
      <c r="G593" s="3">
        <v>21814474</v>
      </c>
      <c r="H593" t="e">
        <f>VLOOKUP(G593,consolidado!$A$2:$B$656,2,FALSE)</f>
        <v>#N/A</v>
      </c>
    </row>
    <row r="594" spans="2:8" ht="17.399999999999999" hidden="1" customHeight="1">
      <c r="B594" s="4">
        <v>593</v>
      </c>
      <c r="C594" s="3" t="s">
        <v>1377</v>
      </c>
      <c r="D594" s="3" t="s">
        <v>1378</v>
      </c>
      <c r="E594" s="3" t="s">
        <v>230</v>
      </c>
      <c r="F594" s="3">
        <v>955462278</v>
      </c>
      <c r="G594" s="3">
        <v>41396255</v>
      </c>
      <c r="H594" t="e">
        <f>VLOOKUP(G594,consolidado!$A$2:$B$656,2,FALSE)</f>
        <v>#N/A</v>
      </c>
    </row>
    <row r="595" spans="2:8" ht="17.399999999999999" hidden="1" customHeight="1">
      <c r="B595" s="4">
        <v>594</v>
      </c>
      <c r="C595" s="3" t="s">
        <v>1379</v>
      </c>
      <c r="D595" s="3" t="s">
        <v>1380</v>
      </c>
      <c r="E595" s="3" t="s">
        <v>22</v>
      </c>
      <c r="F595" s="3">
        <v>967224348</v>
      </c>
      <c r="G595" s="3">
        <v>21849130</v>
      </c>
      <c r="H595" t="e">
        <f>VLOOKUP(G595,consolidado!$A$2:$B$656,2,FALSE)</f>
        <v>#N/A</v>
      </c>
    </row>
    <row r="596" spans="2:8" ht="17.399999999999999" hidden="1" customHeight="1">
      <c r="B596" s="4">
        <v>595</v>
      </c>
      <c r="C596" s="3" t="s">
        <v>1381</v>
      </c>
      <c r="D596" s="3" t="s">
        <v>1382</v>
      </c>
      <c r="E596" s="3" t="s">
        <v>1383</v>
      </c>
      <c r="F596" s="3" t="s">
        <v>1384</v>
      </c>
      <c r="G596" s="3">
        <v>21884660</v>
      </c>
      <c r="H596" t="e">
        <f>VLOOKUP(G596,consolidado!$A$2:$B$656,2,FALSE)</f>
        <v>#N/A</v>
      </c>
    </row>
    <row r="597" spans="2:8" ht="17.399999999999999" hidden="1" customHeight="1">
      <c r="B597" s="4">
        <v>596</v>
      </c>
      <c r="C597" s="3" t="s">
        <v>1385</v>
      </c>
      <c r="D597" s="3" t="s">
        <v>1386</v>
      </c>
      <c r="E597" s="3" t="s">
        <v>27</v>
      </c>
      <c r="F597" s="3">
        <v>987136251</v>
      </c>
      <c r="G597" s="3">
        <v>41240115</v>
      </c>
      <c r="H597" t="e">
        <f>VLOOKUP(G597,consolidado!$A$2:$B$656,2,FALSE)</f>
        <v>#N/A</v>
      </c>
    </row>
    <row r="598" spans="2:8" ht="17.399999999999999" customHeight="1">
      <c r="B598" s="4">
        <v>597</v>
      </c>
      <c r="C598" s="3" t="s">
        <v>1387</v>
      </c>
      <c r="D598" s="3" t="s">
        <v>1388</v>
      </c>
      <c r="E598" s="3" t="s">
        <v>126</v>
      </c>
      <c r="F598" s="3">
        <v>919585896</v>
      </c>
      <c r="G598" s="3">
        <v>46402866</v>
      </c>
      <c r="H598" t="e">
        <f>VLOOKUP(G598,consolidado!$A$2:$B$656,2,FALSE)</f>
        <v>#N/A</v>
      </c>
    </row>
    <row r="599" spans="2:8" ht="17.399999999999999" customHeight="1">
      <c r="B599" s="4">
        <v>598</v>
      </c>
      <c r="C599" s="3" t="s">
        <v>1389</v>
      </c>
      <c r="D599" s="3" t="s">
        <v>1390</v>
      </c>
      <c r="E599" s="3" t="s">
        <v>846</v>
      </c>
      <c r="F599" s="3">
        <v>944134285</v>
      </c>
      <c r="G599" s="3">
        <v>42506714</v>
      </c>
      <c r="H599" t="e">
        <f>VLOOKUP(G599,consolidado!$A$2:$B$656,2,FALSE)</f>
        <v>#N/A</v>
      </c>
    </row>
    <row r="600" spans="2:8" ht="17.399999999999999" hidden="1" customHeight="1">
      <c r="B600" s="4">
        <v>599</v>
      </c>
      <c r="C600" s="3" t="s">
        <v>1391</v>
      </c>
      <c r="D600" s="3" t="s">
        <v>1392</v>
      </c>
      <c r="E600" s="3" t="s">
        <v>126</v>
      </c>
      <c r="F600" s="3">
        <v>927899682</v>
      </c>
      <c r="G600" s="3">
        <v>21868436</v>
      </c>
      <c r="H600" t="e">
        <f>VLOOKUP(G600,consolidado!$A$2:$B$656,2,FALSE)</f>
        <v>#N/A</v>
      </c>
    </row>
    <row r="601" spans="2:8" ht="17.399999999999999" hidden="1" customHeight="1">
      <c r="B601" s="4">
        <v>600</v>
      </c>
      <c r="C601" s="3" t="s">
        <v>1393</v>
      </c>
      <c r="D601" s="3" t="s">
        <v>1394</v>
      </c>
      <c r="E601" s="3" t="s">
        <v>90</v>
      </c>
      <c r="F601" s="3">
        <v>947403872</v>
      </c>
      <c r="G601" s="3">
        <v>46981139</v>
      </c>
      <c r="H601" t="e">
        <f>VLOOKUP(G601,consolidado!$A$2:$B$656,2,FALSE)</f>
        <v>#N/A</v>
      </c>
    </row>
    <row r="602" spans="2:8" ht="17.399999999999999" customHeight="1">
      <c r="B602" s="4">
        <v>601</v>
      </c>
      <c r="C602" s="3" t="s">
        <v>1395</v>
      </c>
      <c r="D602" s="3" t="s">
        <v>1396</v>
      </c>
      <c r="E602" s="3" t="s">
        <v>27</v>
      </c>
      <c r="F602" s="3">
        <v>947336454</v>
      </c>
      <c r="G602" s="3">
        <v>40975420</v>
      </c>
      <c r="H602" t="e">
        <f>VLOOKUP(G602,consolidado!$A$2:$B$656,2,FALSE)</f>
        <v>#N/A</v>
      </c>
    </row>
    <row r="603" spans="2:8" ht="17.399999999999999" hidden="1" customHeight="1">
      <c r="B603" s="4">
        <v>602</v>
      </c>
      <c r="C603" s="3" t="s">
        <v>1397</v>
      </c>
      <c r="D603" s="3" t="s">
        <v>1398</v>
      </c>
      <c r="E603" s="3" t="s">
        <v>27</v>
      </c>
      <c r="F603" s="3">
        <v>942136159</v>
      </c>
      <c r="G603" s="3">
        <v>21876900</v>
      </c>
      <c r="H603" t="e">
        <f>VLOOKUP(G603,consolidado!$A$2:$B$656,2,FALSE)</f>
        <v>#N/A</v>
      </c>
    </row>
    <row r="604" spans="2:8" ht="17.399999999999999" customHeight="1">
      <c r="B604" s="4">
        <v>603</v>
      </c>
      <c r="C604" s="3" t="s">
        <v>1399</v>
      </c>
      <c r="D604" s="3" t="s">
        <v>1400</v>
      </c>
      <c r="E604" s="3" t="s">
        <v>2</v>
      </c>
      <c r="F604" s="3">
        <v>938774666</v>
      </c>
      <c r="G604" s="3">
        <v>45944393</v>
      </c>
      <c r="H604" t="e">
        <f>VLOOKUP(G604,consolidado!$A$2:$B$656,2,FALSE)</f>
        <v>#N/A</v>
      </c>
    </row>
    <row r="605" spans="2:8" ht="17.399999999999999" hidden="1" customHeight="1">
      <c r="B605" s="4">
        <v>604</v>
      </c>
      <c r="C605" s="3" t="s">
        <v>1401</v>
      </c>
      <c r="D605" s="3" t="s">
        <v>1402</v>
      </c>
      <c r="E605" s="3" t="s">
        <v>1383</v>
      </c>
      <c r="F605" s="3">
        <v>956560777</v>
      </c>
      <c r="G605" s="3">
        <v>41286561</v>
      </c>
      <c r="H605" t="e">
        <f>VLOOKUP(G605,consolidado!$A$2:$B$656,2,FALSE)</f>
        <v>#N/A</v>
      </c>
    </row>
    <row r="606" spans="2:8" ht="17.399999999999999" hidden="1" customHeight="1">
      <c r="B606" s="4">
        <v>605</v>
      </c>
      <c r="C606" s="3" t="s">
        <v>1403</v>
      </c>
      <c r="D606" s="3" t="s">
        <v>1404</v>
      </c>
      <c r="E606" s="3" t="s">
        <v>1372</v>
      </c>
      <c r="F606" s="3">
        <v>977723525</v>
      </c>
      <c r="G606" s="3">
        <v>40476139</v>
      </c>
      <c r="H606" t="e">
        <f>VLOOKUP(G606,consolidado!$A$2:$B$656,2,FALSE)</f>
        <v>#N/A</v>
      </c>
    </row>
    <row r="607" spans="2:8" ht="17.399999999999999" hidden="1" customHeight="1">
      <c r="B607" s="4">
        <v>606</v>
      </c>
      <c r="C607" s="3" t="s">
        <v>1405</v>
      </c>
      <c r="D607" s="3" t="s">
        <v>1406</v>
      </c>
      <c r="E607" s="3" t="s">
        <v>1372</v>
      </c>
      <c r="F607" s="3">
        <v>994071850</v>
      </c>
      <c r="G607" s="3">
        <v>73391124</v>
      </c>
      <c r="H607" t="e">
        <f>VLOOKUP(G607,consolidado!$A$2:$B$656,2,FALSE)</f>
        <v>#N/A</v>
      </c>
    </row>
    <row r="608" spans="2:8" ht="17.399999999999999" hidden="1" customHeight="1">
      <c r="B608" s="4">
        <v>607</v>
      </c>
      <c r="C608" s="3" t="s">
        <v>1407</v>
      </c>
      <c r="D608" s="3" t="s">
        <v>1408</v>
      </c>
      <c r="E608" s="3" t="s">
        <v>126</v>
      </c>
      <c r="F608" s="3">
        <v>933469689</v>
      </c>
      <c r="G608" s="3">
        <v>77391971</v>
      </c>
      <c r="H608" t="e">
        <f>VLOOKUP(G608,consolidado!$A$2:$B$656,2,FALSE)</f>
        <v>#N/A</v>
      </c>
    </row>
    <row r="609" spans="2:8" ht="17.399999999999999" hidden="1" customHeight="1">
      <c r="B609" s="4">
        <v>608</v>
      </c>
      <c r="C609" s="3" t="s">
        <v>1409</v>
      </c>
      <c r="D609" s="3" t="s">
        <v>1410</v>
      </c>
      <c r="E609" s="3" t="s">
        <v>1383</v>
      </c>
      <c r="F609" s="3">
        <v>994043628</v>
      </c>
      <c r="G609" s="3">
        <v>76872573</v>
      </c>
      <c r="H609" t="e">
        <f>VLOOKUP(G609,consolidado!$A$2:$B$656,2,FALSE)</f>
        <v>#N/A</v>
      </c>
    </row>
    <row r="610" spans="2:8" ht="17.399999999999999" hidden="1" customHeight="1">
      <c r="B610" s="4">
        <v>609</v>
      </c>
      <c r="C610" s="3" t="s">
        <v>1411</v>
      </c>
      <c r="D610" s="3" t="s">
        <v>1412</v>
      </c>
      <c r="E610" s="3" t="s">
        <v>1372</v>
      </c>
      <c r="F610" s="3">
        <v>907377901</v>
      </c>
      <c r="G610" s="3" t="s">
        <v>1413</v>
      </c>
      <c r="H610" t="e">
        <f>VLOOKUP(G610,consolidado!$A$2:$B$656,2,FALSE)</f>
        <v>#N/A</v>
      </c>
    </row>
    <row r="611" spans="2:8" ht="17.399999999999999" customHeight="1">
      <c r="B611" s="4">
        <v>610</v>
      </c>
      <c r="C611" s="3" t="s">
        <v>1414</v>
      </c>
      <c r="D611" s="3" t="s">
        <v>1415</v>
      </c>
      <c r="E611" s="3" t="s">
        <v>22</v>
      </c>
      <c r="F611" s="3">
        <v>934515158</v>
      </c>
      <c r="G611" s="3">
        <v>42768413</v>
      </c>
      <c r="H611" t="e">
        <f>VLOOKUP(G611,consolidado!$A$2:$B$656,2,FALSE)</f>
        <v>#N/A</v>
      </c>
    </row>
    <row r="612" spans="2:8" ht="17.399999999999999" hidden="1" customHeight="1">
      <c r="B612" s="4">
        <v>612</v>
      </c>
      <c r="C612" s="3" t="s">
        <v>1416</v>
      </c>
      <c r="D612" s="3" t="s">
        <v>1417</v>
      </c>
      <c r="E612" s="3" t="s">
        <v>1383</v>
      </c>
      <c r="F612" s="3">
        <v>914066332</v>
      </c>
      <c r="G612" s="3">
        <v>21857342</v>
      </c>
      <c r="H612" t="e">
        <f>VLOOKUP(G612,consolidado!$A$2:$B$656,2,FALSE)</f>
        <v>#N/A</v>
      </c>
    </row>
    <row r="613" spans="2:8" ht="17.399999999999999" hidden="1" customHeight="1">
      <c r="B613" s="4">
        <v>613</v>
      </c>
      <c r="C613" s="3" t="s">
        <v>1418</v>
      </c>
      <c r="D613" s="3" t="s">
        <v>1419</v>
      </c>
      <c r="E613" s="3" t="s">
        <v>1372</v>
      </c>
      <c r="F613" s="3">
        <v>985383437</v>
      </c>
      <c r="G613" s="3">
        <v>76505348</v>
      </c>
      <c r="H613" t="e">
        <f>VLOOKUP(G613,consolidado!$A$2:$B$656,2,FALSE)</f>
        <v>#N/A</v>
      </c>
    </row>
    <row r="614" spans="2:8" ht="17.399999999999999" customHeight="1">
      <c r="B614" s="4">
        <v>614</v>
      </c>
      <c r="C614" s="3" t="s">
        <v>1420</v>
      </c>
      <c r="D614" s="3" t="s">
        <v>1421</v>
      </c>
      <c r="E614" s="3" t="s">
        <v>22</v>
      </c>
      <c r="F614" s="3">
        <v>987647160</v>
      </c>
      <c r="G614" s="3">
        <v>46147464</v>
      </c>
      <c r="H614" t="e">
        <f>VLOOKUP(G614,consolidado!$A$2:$B$656,2,FALSE)</f>
        <v>#N/A</v>
      </c>
    </row>
    <row r="615" spans="2:8" ht="17.399999999999999" hidden="1" customHeight="1">
      <c r="B615" s="4">
        <v>615</v>
      </c>
      <c r="C615" s="3" t="s">
        <v>1422</v>
      </c>
      <c r="D615" s="3" t="s">
        <v>1423</v>
      </c>
      <c r="E615" s="3" t="s">
        <v>1424</v>
      </c>
      <c r="F615" s="3">
        <v>912137877</v>
      </c>
      <c r="G615" s="3">
        <v>43221264</v>
      </c>
      <c r="H615" t="e">
        <f>VLOOKUP(G615,consolidado!$A$2:$B$656,2,FALSE)</f>
        <v>#N/A</v>
      </c>
    </row>
    <row r="616" spans="2:8" ht="17.399999999999999" hidden="1" customHeight="1">
      <c r="B616" s="4">
        <v>616</v>
      </c>
      <c r="C616" s="3" t="s">
        <v>1425</v>
      </c>
      <c r="D616" s="3" t="s">
        <v>1426</v>
      </c>
      <c r="E616" s="3" t="s">
        <v>1106</v>
      </c>
      <c r="F616" s="3">
        <v>912946029</v>
      </c>
      <c r="G616" s="3">
        <v>71817001</v>
      </c>
      <c r="H616" t="e">
        <f>VLOOKUP(G616,consolidado!$A$2:$B$656,2,FALSE)</f>
        <v>#N/A</v>
      </c>
    </row>
    <row r="617" spans="2:8" ht="17.399999999999999" hidden="1" customHeight="1">
      <c r="B617" s="4">
        <v>617</v>
      </c>
      <c r="C617" s="3" t="s">
        <v>1427</v>
      </c>
      <c r="D617" s="3" t="s">
        <v>1428</v>
      </c>
      <c r="E617" s="3" t="s">
        <v>1372</v>
      </c>
      <c r="F617" s="3">
        <v>916729081</v>
      </c>
      <c r="G617" s="3">
        <v>44732272</v>
      </c>
      <c r="H617" t="e">
        <f>VLOOKUP(G617,consolidado!$A$2:$B$656,2,FALSE)</f>
        <v>#N/A</v>
      </c>
    </row>
    <row r="618" spans="2:8" ht="17.399999999999999" hidden="1" customHeight="1">
      <c r="B618" s="4">
        <v>618</v>
      </c>
      <c r="C618" s="3" t="s">
        <v>1429</v>
      </c>
      <c r="D618" s="3" t="s">
        <v>1430</v>
      </c>
      <c r="E618" s="3" t="s">
        <v>99</v>
      </c>
      <c r="F618" s="3">
        <v>947102131</v>
      </c>
      <c r="G618" s="3">
        <v>41455781</v>
      </c>
      <c r="H618" t="e">
        <f>VLOOKUP(G618,consolidado!$A$2:$B$656,2,FALSE)</f>
        <v>#N/A</v>
      </c>
    </row>
    <row r="619" spans="2:8" ht="17.399999999999999" customHeight="1">
      <c r="B619" s="4">
        <v>619</v>
      </c>
      <c r="C619" s="3" t="s">
        <v>1431</v>
      </c>
      <c r="D619" s="3" t="s">
        <v>1432</v>
      </c>
      <c r="E619" s="3" t="s">
        <v>846</v>
      </c>
      <c r="F619" s="3">
        <v>925258512</v>
      </c>
      <c r="G619" s="3">
        <v>70352237</v>
      </c>
      <c r="H619" t="e">
        <f>VLOOKUP(G619,consolidado!$A$2:$B$656,2,FALSE)</f>
        <v>#N/A</v>
      </c>
    </row>
    <row r="620" spans="2:8" ht="17.399999999999999" hidden="1" customHeight="1">
      <c r="B620" s="4">
        <v>620</v>
      </c>
      <c r="C620" s="3" t="s">
        <v>1433</v>
      </c>
      <c r="D620" s="3" t="s">
        <v>1434</v>
      </c>
      <c r="E620" s="3" t="s">
        <v>846</v>
      </c>
      <c r="F620" s="3">
        <v>951506348</v>
      </c>
      <c r="G620" s="3">
        <v>21866464</v>
      </c>
      <c r="H620" t="e">
        <f>VLOOKUP(G620,consolidado!$A$2:$B$656,2,FALSE)</f>
        <v>#N/A</v>
      </c>
    </row>
    <row r="621" spans="2:8" ht="17.399999999999999" hidden="1" customHeight="1">
      <c r="B621" s="4">
        <v>621</v>
      </c>
      <c r="C621" s="3" t="s">
        <v>1435</v>
      </c>
      <c r="D621" s="3" t="s">
        <v>1436</v>
      </c>
      <c r="E621" s="3" t="s">
        <v>1372</v>
      </c>
      <c r="F621" s="3">
        <v>904334257</v>
      </c>
      <c r="G621" s="3">
        <v>45114263</v>
      </c>
      <c r="H621" t="e">
        <f>VLOOKUP(G621,consolidado!$A$2:$B$656,2,FALSE)</f>
        <v>#N/A</v>
      </c>
    </row>
    <row r="622" spans="2:8" ht="17.399999999999999" hidden="1" customHeight="1">
      <c r="B622" s="4">
        <v>622</v>
      </c>
      <c r="C622" s="3" t="s">
        <v>1437</v>
      </c>
      <c r="D622" s="3" t="s">
        <v>1438</v>
      </c>
      <c r="E622" s="3" t="s">
        <v>1372</v>
      </c>
      <c r="F622" s="3" t="s">
        <v>1439</v>
      </c>
      <c r="G622" s="3">
        <v>74561589</v>
      </c>
      <c r="H622" t="e">
        <f>VLOOKUP(G622,consolidado!$A$2:$B$656,2,FALSE)</f>
        <v>#N/A</v>
      </c>
    </row>
    <row r="623" spans="2:8" ht="17.399999999999999" customHeight="1">
      <c r="B623" s="4">
        <v>623</v>
      </c>
      <c r="C623" s="3" t="s">
        <v>1440</v>
      </c>
      <c r="D623" s="3" t="s">
        <v>1441</v>
      </c>
      <c r="E623" s="3" t="s">
        <v>106</v>
      </c>
      <c r="F623" s="3">
        <v>940960865</v>
      </c>
      <c r="G623" s="3">
        <v>40499955</v>
      </c>
      <c r="H623" t="e">
        <f>VLOOKUP(G623,consolidado!$A$2:$B$656,2,FALSE)</f>
        <v>#N/A</v>
      </c>
    </row>
    <row r="624" spans="2:8" ht="17.399999999999999" customHeight="1">
      <c r="B624" s="4">
        <v>624</v>
      </c>
      <c r="C624" s="3" t="s">
        <v>1442</v>
      </c>
      <c r="D624" s="3" t="s">
        <v>1443</v>
      </c>
      <c r="E624" s="3" t="s">
        <v>36</v>
      </c>
      <c r="F624" s="3">
        <v>960329843</v>
      </c>
      <c r="G624" s="3">
        <v>44699542</v>
      </c>
      <c r="H624" t="e">
        <f>VLOOKUP(G624,consolidado!$A$2:$B$656,2,FALSE)</f>
        <v>#N/A</v>
      </c>
    </row>
    <row r="625" spans="2:8" ht="17.399999999999999" customHeight="1">
      <c r="B625" s="4">
        <v>625</v>
      </c>
      <c r="C625" s="3" t="s">
        <v>1444</v>
      </c>
      <c r="D625" s="3" t="s">
        <v>1445</v>
      </c>
      <c r="E625" s="3" t="s">
        <v>846</v>
      </c>
      <c r="F625" s="3">
        <v>917347669</v>
      </c>
      <c r="G625" s="3">
        <v>77132367</v>
      </c>
      <c r="H625" t="e">
        <f>VLOOKUP(G625,consolidado!$A$2:$B$656,2,FALSE)</f>
        <v>#N/A</v>
      </c>
    </row>
    <row r="626" spans="2:8" ht="17.399999999999999" customHeight="1">
      <c r="B626" s="4">
        <v>626</v>
      </c>
      <c r="C626" s="3" t="s">
        <v>1446</v>
      </c>
      <c r="D626" s="3" t="s">
        <v>1447</v>
      </c>
      <c r="E626" s="3" t="s">
        <v>1106</v>
      </c>
      <c r="F626" s="3" t="s">
        <v>1448</v>
      </c>
      <c r="G626" s="3">
        <v>75423085</v>
      </c>
      <c r="H626" t="e">
        <f>VLOOKUP(G626,consolidado!$A$2:$B$656,2,FALSE)</f>
        <v>#N/A</v>
      </c>
    </row>
    <row r="627" spans="2:8" ht="17.399999999999999" hidden="1" customHeight="1">
      <c r="B627" s="4">
        <v>628</v>
      </c>
      <c r="C627" s="3" t="s">
        <v>1449</v>
      </c>
      <c r="D627" s="3" t="s">
        <v>1450</v>
      </c>
      <c r="E627" s="3" t="s">
        <v>36</v>
      </c>
      <c r="F627" s="3">
        <v>964428233</v>
      </c>
      <c r="G627" s="3">
        <v>41730647</v>
      </c>
      <c r="H627" t="e">
        <f>VLOOKUP(G627,consolidado!$A$2:$B$656,2,FALSE)</f>
        <v>#N/A</v>
      </c>
    </row>
    <row r="628" spans="2:8" ht="17.399999999999999" customHeight="1">
      <c r="B628" s="4">
        <v>629</v>
      </c>
      <c r="C628" s="3" t="s">
        <v>1451</v>
      </c>
      <c r="D628" s="1"/>
      <c r="E628" s="3" t="s">
        <v>126</v>
      </c>
      <c r="F628" s="3">
        <v>934618243</v>
      </c>
      <c r="G628" s="3">
        <v>43593216</v>
      </c>
      <c r="H628" t="e">
        <f>VLOOKUP(G628,consolidado!$A$2:$B$656,2,FALSE)</f>
        <v>#N/A</v>
      </c>
    </row>
    <row r="629" spans="2:8" ht="17.399999999999999" customHeight="1">
      <c r="B629" s="4">
        <v>630</v>
      </c>
      <c r="C629" s="3" t="s">
        <v>1452</v>
      </c>
      <c r="D629" s="3" t="s">
        <v>1453</v>
      </c>
      <c r="E629" s="3" t="s">
        <v>5</v>
      </c>
      <c r="F629" s="3">
        <v>997087497</v>
      </c>
      <c r="G629" s="3">
        <v>45837876</v>
      </c>
      <c r="H629" t="e">
        <f>VLOOKUP(G629,consolidado!$A$2:$B$656,2,FALSE)</f>
        <v>#N/A</v>
      </c>
    </row>
    <row r="630" spans="2:8" ht="17.399999999999999" customHeight="1">
      <c r="B630" s="4">
        <v>631</v>
      </c>
      <c r="C630" s="3" t="s">
        <v>1454</v>
      </c>
      <c r="D630" s="3" t="s">
        <v>1455</v>
      </c>
      <c r="E630" s="3" t="s">
        <v>8</v>
      </c>
      <c r="F630" s="3">
        <v>956521517</v>
      </c>
      <c r="G630" s="3">
        <v>44085244</v>
      </c>
      <c r="H630" t="e">
        <f>VLOOKUP(G630,consolidado!$A$2:$B$656,2,FALSE)</f>
        <v>#N/A</v>
      </c>
    </row>
    <row r="631" spans="2:8" ht="17.399999999999999" customHeight="1">
      <c r="B631" s="4">
        <v>632</v>
      </c>
      <c r="C631" s="3" t="s">
        <v>1456</v>
      </c>
      <c r="D631" s="3" t="s">
        <v>1457</v>
      </c>
      <c r="E631" s="3" t="s">
        <v>90</v>
      </c>
      <c r="F631" s="3">
        <v>913448313</v>
      </c>
      <c r="G631" s="3">
        <v>47561973</v>
      </c>
      <c r="H631" t="e">
        <f>VLOOKUP(G631,consolidado!$A$2:$B$656,2,FALSE)</f>
        <v>#N/A</v>
      </c>
    </row>
    <row r="632" spans="2:8" ht="17.399999999999999" hidden="1" customHeight="1">
      <c r="B632" s="4">
        <v>633</v>
      </c>
      <c r="C632" s="3" t="s">
        <v>1458</v>
      </c>
      <c r="D632" s="3" t="s">
        <v>1459</v>
      </c>
      <c r="E632" s="3" t="s">
        <v>27</v>
      </c>
      <c r="F632" s="3">
        <v>932437255</v>
      </c>
      <c r="G632" s="3">
        <v>21814478</v>
      </c>
      <c r="H632" t="e">
        <f>VLOOKUP(G632,consolidado!$A$2:$B$656,2,FALSE)</f>
        <v>#N/A</v>
      </c>
    </row>
    <row r="633" spans="2:8" ht="17.399999999999999" customHeight="1">
      <c r="B633" s="4">
        <v>634</v>
      </c>
      <c r="C633" s="3" t="s">
        <v>1460</v>
      </c>
      <c r="D633" s="3" t="s">
        <v>1461</v>
      </c>
      <c r="E633" s="3" t="s">
        <v>22</v>
      </c>
      <c r="F633" s="3">
        <v>970582925</v>
      </c>
      <c r="G633" s="3">
        <v>20607952648</v>
      </c>
      <c r="H633" t="e">
        <f>VLOOKUP(G633,consolidado!$A$2:$B$656,2,FALSE)</f>
        <v>#N/A</v>
      </c>
    </row>
    <row r="634" spans="2:8" ht="17.399999999999999" hidden="1" customHeight="1">
      <c r="B634" s="4">
        <v>635</v>
      </c>
      <c r="C634" s="3" t="s">
        <v>1462</v>
      </c>
      <c r="D634" s="3" t="s">
        <v>1463</v>
      </c>
      <c r="E634" s="3" t="s">
        <v>1257</v>
      </c>
      <c r="F634" s="3">
        <v>932904801</v>
      </c>
      <c r="G634" s="3">
        <v>40866289</v>
      </c>
      <c r="H634" t="e">
        <f>VLOOKUP(G634,consolidado!$A$2:$B$656,2,FALSE)</f>
        <v>#N/A</v>
      </c>
    </row>
    <row r="635" spans="2:8" ht="17.399999999999999" hidden="1" customHeight="1">
      <c r="B635" s="4">
        <v>636</v>
      </c>
      <c r="C635" s="3" t="s">
        <v>1464</v>
      </c>
      <c r="D635" s="3" t="s">
        <v>1465</v>
      </c>
      <c r="E635" s="3" t="s">
        <v>5</v>
      </c>
      <c r="F635" s="3">
        <v>961009005</v>
      </c>
      <c r="G635" s="3">
        <v>40730622</v>
      </c>
      <c r="H635" t="e">
        <f>VLOOKUP(G635,consolidado!$A$2:$B$656,2,FALSE)</f>
        <v>#N/A</v>
      </c>
    </row>
    <row r="636" spans="2:8" ht="17.399999999999999" customHeight="1">
      <c r="B636" s="4">
        <v>637</v>
      </c>
      <c r="C636" s="3" t="s">
        <v>1466</v>
      </c>
      <c r="D636" s="3" t="s">
        <v>1467</v>
      </c>
      <c r="E636" s="3" t="s">
        <v>1257</v>
      </c>
      <c r="F636" s="3">
        <v>943202544</v>
      </c>
      <c r="G636" s="3">
        <v>41845232</v>
      </c>
      <c r="H636" t="e">
        <f>VLOOKUP(G636,consolidado!$A$2:$B$656,2,FALSE)</f>
        <v>#N/A</v>
      </c>
    </row>
    <row r="637" spans="2:8" ht="17.399999999999999" hidden="1" customHeight="1">
      <c r="B637" s="4">
        <v>638</v>
      </c>
      <c r="C637" s="3" t="s">
        <v>1468</v>
      </c>
      <c r="D637" s="3" t="s">
        <v>1469</v>
      </c>
      <c r="E637" s="3" t="s">
        <v>8</v>
      </c>
      <c r="F637" s="3" t="s">
        <v>1470</v>
      </c>
      <c r="G637" s="3">
        <v>43092297</v>
      </c>
      <c r="H637" t="e">
        <f>VLOOKUP(G637,consolidado!$A$2:$B$656,2,FALSE)</f>
        <v>#N/A</v>
      </c>
    </row>
    <row r="638" spans="2:8" ht="17.399999999999999" customHeight="1">
      <c r="B638" s="4">
        <v>639</v>
      </c>
      <c r="C638" s="3" t="s">
        <v>1471</v>
      </c>
      <c r="D638" s="3" t="s">
        <v>1472</v>
      </c>
      <c r="E638" s="3" t="s">
        <v>22</v>
      </c>
      <c r="F638" s="3">
        <v>986052283</v>
      </c>
      <c r="G638" s="3" t="s">
        <v>1473</v>
      </c>
      <c r="H638" t="e">
        <f>VLOOKUP(G638,consolidado!$A$2:$B$656,2,FALSE)</f>
        <v>#N/A</v>
      </c>
    </row>
    <row r="639" spans="2:8" ht="17.399999999999999" customHeight="1">
      <c r="B639" s="4">
        <v>640</v>
      </c>
      <c r="C639" s="3" t="s">
        <v>1474</v>
      </c>
      <c r="D639" s="3" t="s">
        <v>1475</v>
      </c>
      <c r="E639" s="3" t="s">
        <v>846</v>
      </c>
      <c r="F639" s="3" t="s">
        <v>1476</v>
      </c>
      <c r="G639" s="3">
        <v>21873038</v>
      </c>
      <c r="H639" t="e">
        <f>VLOOKUP(G639,consolidado!$A$2:$B$656,2,FALSE)</f>
        <v>#N/A</v>
      </c>
    </row>
    <row r="640" spans="2:8" ht="17.399999999999999" customHeight="1">
      <c r="B640" s="4">
        <v>641</v>
      </c>
      <c r="C640" s="3" t="s">
        <v>1477</v>
      </c>
      <c r="D640" s="3" t="s">
        <v>1478</v>
      </c>
      <c r="E640" s="3" t="s">
        <v>36</v>
      </c>
      <c r="F640" s="3">
        <v>997829222</v>
      </c>
      <c r="G640" s="3">
        <v>40203497</v>
      </c>
      <c r="H640" t="e">
        <f>VLOOKUP(G640,consolidado!$A$2:$B$656,2,FALSE)</f>
        <v>#N/A</v>
      </c>
    </row>
    <row r="641" spans="2:8" ht="17.399999999999999" customHeight="1">
      <c r="B641" s="4">
        <v>643</v>
      </c>
      <c r="C641" s="3" t="s">
        <v>1479</v>
      </c>
      <c r="D641" s="3" t="s">
        <v>1480</v>
      </c>
      <c r="E641" s="3" t="s">
        <v>5</v>
      </c>
      <c r="F641" s="3">
        <v>971123157</v>
      </c>
      <c r="G641" s="3">
        <v>73198106</v>
      </c>
      <c r="H641" t="e">
        <f>VLOOKUP(G641,consolidado!$A$2:$B$656,2,FALSE)</f>
        <v>#N/A</v>
      </c>
    </row>
    <row r="642" spans="2:8" ht="17.399999999999999" customHeight="1">
      <c r="B642" s="4">
        <v>644</v>
      </c>
      <c r="C642" s="3" t="s">
        <v>1481</v>
      </c>
      <c r="D642" s="3" t="s">
        <v>1482</v>
      </c>
      <c r="E642" s="3" t="s">
        <v>8</v>
      </c>
      <c r="F642" s="3">
        <v>938654341</v>
      </c>
      <c r="G642" s="3">
        <v>72692981</v>
      </c>
      <c r="H642" t="e">
        <f>VLOOKUP(G642,consolidado!$A$2:$B$656,2,FALSE)</f>
        <v>#N/A</v>
      </c>
    </row>
    <row r="643" spans="2:8" ht="17.399999999999999" customHeight="1">
      <c r="B643" s="4">
        <v>645</v>
      </c>
      <c r="C643" s="3" t="s">
        <v>1483</v>
      </c>
      <c r="D643" s="3" t="s">
        <v>1484</v>
      </c>
      <c r="E643" s="3" t="s">
        <v>846</v>
      </c>
      <c r="F643" s="3">
        <v>918460892</v>
      </c>
      <c r="G643" s="3">
        <v>21871581</v>
      </c>
      <c r="H643" t="e">
        <f>VLOOKUP(G643,consolidado!$A$2:$B$656,2,FALSE)</f>
        <v>#N/A</v>
      </c>
    </row>
    <row r="644" spans="2:8" ht="17.399999999999999" customHeight="1">
      <c r="B644" s="4">
        <v>646</v>
      </c>
      <c r="C644" s="3" t="s">
        <v>1485</v>
      </c>
      <c r="D644" s="3" t="s">
        <v>1486</v>
      </c>
      <c r="E644" s="3" t="s">
        <v>22</v>
      </c>
      <c r="F644" s="3">
        <v>995250126</v>
      </c>
      <c r="G644" s="3">
        <v>44773852</v>
      </c>
      <c r="H644" t="e">
        <f>VLOOKUP(G644,consolidado!$A$2:$B$656,2,FALSE)</f>
        <v>#N/A</v>
      </c>
    </row>
    <row r="645" spans="2:8" ht="17.399999999999999" customHeight="1">
      <c r="B645" s="4">
        <v>647</v>
      </c>
      <c r="C645" s="3" t="s">
        <v>1487</v>
      </c>
      <c r="D645" s="3" t="s">
        <v>1486</v>
      </c>
      <c r="E645" s="3" t="s">
        <v>317</v>
      </c>
      <c r="F645" s="3" t="s">
        <v>1488</v>
      </c>
      <c r="G645" s="3">
        <v>76295361</v>
      </c>
      <c r="H645" t="e">
        <f>VLOOKUP(G645,consolidado!$A$2:$B$656,2,FALSE)</f>
        <v>#N/A</v>
      </c>
    </row>
    <row r="646" spans="2:8" ht="17.399999999999999" hidden="1" customHeight="1">
      <c r="B646" s="4">
        <v>648</v>
      </c>
      <c r="C646" s="3" t="s">
        <v>1489</v>
      </c>
      <c r="D646" s="3" t="s">
        <v>1490</v>
      </c>
      <c r="E646" s="3" t="s">
        <v>710</v>
      </c>
      <c r="F646" s="3">
        <v>960729102</v>
      </c>
      <c r="G646" s="3">
        <v>71883044</v>
      </c>
      <c r="H646" t="e">
        <f>VLOOKUP(G646,consolidado!$A$2:$B$656,2,FALSE)</f>
        <v>#N/A</v>
      </c>
    </row>
    <row r="647" spans="2:8" ht="17.399999999999999" customHeight="1">
      <c r="B647" s="4">
        <v>649</v>
      </c>
      <c r="C647" s="3" t="s">
        <v>1491</v>
      </c>
      <c r="D647" s="3" t="s">
        <v>1492</v>
      </c>
      <c r="E647" s="3" t="s">
        <v>99</v>
      </c>
      <c r="F647" s="3" t="s">
        <v>1493</v>
      </c>
      <c r="G647" s="3">
        <v>45506015</v>
      </c>
      <c r="H647" t="e">
        <f>VLOOKUP(G647,consolidado!$A$2:$B$656,2,FALSE)</f>
        <v>#N/A</v>
      </c>
    </row>
    <row r="648" spans="2:8" ht="17.399999999999999" hidden="1" customHeight="1">
      <c r="B648" s="4">
        <v>650</v>
      </c>
      <c r="C648" s="3" t="s">
        <v>1494</v>
      </c>
      <c r="D648" s="3" t="s">
        <v>1495</v>
      </c>
      <c r="E648" s="3" t="s">
        <v>846</v>
      </c>
      <c r="F648" s="3">
        <v>981515239</v>
      </c>
      <c r="G648" s="3">
        <v>73972845</v>
      </c>
      <c r="H648" t="e">
        <f>VLOOKUP(G648,consolidado!$A$2:$B$656,2,FALSE)</f>
        <v>#N/A</v>
      </c>
    </row>
    <row r="649" spans="2:8" ht="17.399999999999999" customHeight="1">
      <c r="B649" s="4">
        <v>651</v>
      </c>
      <c r="C649" s="3" t="s">
        <v>1496</v>
      </c>
      <c r="D649" s="3" t="s">
        <v>1497</v>
      </c>
      <c r="E649" s="3" t="s">
        <v>106</v>
      </c>
      <c r="F649" s="3">
        <v>901173825</v>
      </c>
      <c r="G649" s="3">
        <v>43031430</v>
      </c>
      <c r="H649" t="e">
        <f>VLOOKUP(G649,consolidado!$A$2:$B$656,2,FALSE)</f>
        <v>#N/A</v>
      </c>
    </row>
    <row r="650" spans="2:8" ht="17.399999999999999" customHeight="1">
      <c r="B650" s="4">
        <v>652</v>
      </c>
      <c r="C650" s="3" t="s">
        <v>1498</v>
      </c>
      <c r="D650" s="3" t="s">
        <v>1499</v>
      </c>
      <c r="E650" s="3" t="s">
        <v>317</v>
      </c>
      <c r="F650" s="3">
        <v>942533604</v>
      </c>
      <c r="G650" s="3">
        <v>41379751</v>
      </c>
      <c r="H650" t="e">
        <f>VLOOKUP(G650,consolidado!$A$2:$B$656,2,FALSE)</f>
        <v>#N/A</v>
      </c>
    </row>
    <row r="651" spans="2:8" ht="17.399999999999999" customHeight="1">
      <c r="B651" s="4">
        <v>653</v>
      </c>
      <c r="C651" s="3" t="s">
        <v>1500</v>
      </c>
      <c r="D651" s="3" t="s">
        <v>1501</v>
      </c>
      <c r="E651" s="3" t="s">
        <v>334</v>
      </c>
      <c r="F651" s="3">
        <v>966322316</v>
      </c>
      <c r="G651" s="3">
        <v>76815125</v>
      </c>
      <c r="H651" t="e">
        <f>VLOOKUP(G651,consolidado!$A$2:$B$656,2,FALSE)</f>
        <v>#N/A</v>
      </c>
    </row>
    <row r="652" spans="2:8" ht="17.399999999999999" customHeight="1">
      <c r="B652" s="4">
        <v>654</v>
      </c>
      <c r="C652" s="3" t="s">
        <v>1502</v>
      </c>
      <c r="D652" s="3" t="s">
        <v>1503</v>
      </c>
      <c r="E652" s="3" t="s">
        <v>22</v>
      </c>
      <c r="F652" s="3">
        <v>902874390</v>
      </c>
      <c r="G652" s="3">
        <v>74526307</v>
      </c>
      <c r="H652" t="e">
        <f>VLOOKUP(G652,consolidado!$A$2:$B$656,2,FALSE)</f>
        <v>#N/A</v>
      </c>
    </row>
    <row r="653" spans="2:8" ht="17.399999999999999" customHeight="1">
      <c r="B653" s="4">
        <v>655</v>
      </c>
      <c r="C653" s="3" t="s">
        <v>1504</v>
      </c>
      <c r="D653" s="3" t="s">
        <v>1505</v>
      </c>
      <c r="E653" s="3" t="s">
        <v>135</v>
      </c>
      <c r="F653" s="3">
        <v>904529937</v>
      </c>
      <c r="G653" s="3">
        <v>21846612</v>
      </c>
      <c r="H653" t="e">
        <f>VLOOKUP(G653,consolidado!$A$2:$B$656,2,FALSE)</f>
        <v>#N/A</v>
      </c>
    </row>
    <row r="654" spans="2:8" ht="17.399999999999999" customHeight="1">
      <c r="B654" s="4">
        <v>656</v>
      </c>
      <c r="C654" s="3" t="s">
        <v>1506</v>
      </c>
      <c r="D654" s="3" t="s">
        <v>1507</v>
      </c>
      <c r="E654" s="3" t="s">
        <v>106</v>
      </c>
      <c r="F654" s="3">
        <v>901562811</v>
      </c>
      <c r="G654" s="3">
        <v>70249185</v>
      </c>
      <c r="H654" t="e">
        <f>VLOOKUP(G654,consolidado!$A$2:$B$656,2,FALSE)</f>
        <v>#N/A</v>
      </c>
    </row>
    <row r="655" spans="2:8" ht="17.399999999999999" customHeight="1">
      <c r="B655" s="4">
        <v>659</v>
      </c>
      <c r="C655" s="3" t="s">
        <v>1508</v>
      </c>
      <c r="D655" s="3" t="s">
        <v>1509</v>
      </c>
      <c r="E655" s="3" t="s">
        <v>14</v>
      </c>
      <c r="F655" s="3">
        <v>935686349</v>
      </c>
      <c r="G655" s="3">
        <v>75691870</v>
      </c>
      <c r="H655" t="e">
        <f>VLOOKUP(G655,consolidado!$A$2:$B$656,2,FALSE)</f>
        <v>#N/A</v>
      </c>
    </row>
    <row r="656" spans="2:8" ht="17.399999999999999" customHeight="1">
      <c r="B656" s="4">
        <v>660</v>
      </c>
      <c r="C656" s="3" t="s">
        <v>1510</v>
      </c>
      <c r="D656" s="3" t="s">
        <v>1511</v>
      </c>
      <c r="E656" s="3" t="s">
        <v>596</v>
      </c>
      <c r="F656" s="3">
        <v>982895226</v>
      </c>
      <c r="G656" s="3">
        <v>76064207</v>
      </c>
      <c r="H656" t="e">
        <f>VLOOKUP(G656,consolidado!$A$2:$B$656,2,FALSE)</f>
        <v>#N/A</v>
      </c>
    </row>
    <row r="657" spans="2:8" ht="17.399999999999999" customHeight="1">
      <c r="B657" s="4">
        <v>661</v>
      </c>
      <c r="C657" s="3" t="s">
        <v>1512</v>
      </c>
      <c r="D657" s="3" t="s">
        <v>1513</v>
      </c>
      <c r="E657" s="3" t="s">
        <v>5</v>
      </c>
      <c r="F657" s="3">
        <v>907158395</v>
      </c>
      <c r="G657" s="3">
        <v>44330159</v>
      </c>
      <c r="H657" t="e">
        <f>VLOOKUP(G657,consolidado!$A$2:$B$656,2,FALSE)</f>
        <v>#N/A</v>
      </c>
    </row>
    <row r="658" spans="2:8" ht="17.399999999999999" customHeight="1">
      <c r="B658" s="4">
        <v>662</v>
      </c>
      <c r="C658" s="3" t="s">
        <v>1514</v>
      </c>
      <c r="D658" s="3" t="s">
        <v>1515</v>
      </c>
      <c r="E658" s="3" t="s">
        <v>99</v>
      </c>
      <c r="F658" s="3">
        <v>930788527</v>
      </c>
      <c r="G658" s="3">
        <v>75957605</v>
      </c>
      <c r="H658" t="e">
        <f>VLOOKUP(G658,consolidado!$A$2:$B$656,2,FALSE)</f>
        <v>#N/A</v>
      </c>
    </row>
    <row r="659" spans="2:8" ht="17.399999999999999" hidden="1" customHeight="1">
      <c r="B659" s="4">
        <v>663</v>
      </c>
      <c r="C659" s="3" t="s">
        <v>1516</v>
      </c>
      <c r="D659" s="3" t="s">
        <v>1517</v>
      </c>
      <c r="E659" s="3" t="s">
        <v>1372</v>
      </c>
      <c r="F659" s="3">
        <v>939369418</v>
      </c>
      <c r="G659" s="3">
        <v>75570741</v>
      </c>
      <c r="H659" t="e">
        <f>VLOOKUP(G659,consolidado!$A$2:$B$656,2,FALSE)</f>
        <v>#N/A</v>
      </c>
    </row>
    <row r="660" spans="2:8" ht="17.399999999999999" customHeight="1">
      <c r="B660" s="4">
        <v>664</v>
      </c>
      <c r="C660" s="3" t="s">
        <v>1518</v>
      </c>
      <c r="D660" s="3" t="s">
        <v>1519</v>
      </c>
      <c r="E660" s="3" t="s">
        <v>1383</v>
      </c>
      <c r="F660" s="3">
        <v>922981782</v>
      </c>
      <c r="G660" s="3">
        <v>80047199</v>
      </c>
      <c r="H660" t="e">
        <f>VLOOKUP(G660,consolidado!$A$2:$B$656,2,FALSE)</f>
        <v>#N/A</v>
      </c>
    </row>
    <row r="661" spans="2:8" ht="17.399999999999999" customHeight="1">
      <c r="B661" s="4">
        <v>665</v>
      </c>
      <c r="C661" s="3" t="s">
        <v>1520</v>
      </c>
      <c r="D661" s="3" t="s">
        <v>1521</v>
      </c>
      <c r="E661" s="3" t="s">
        <v>765</v>
      </c>
      <c r="F661" s="3">
        <v>900268302</v>
      </c>
      <c r="G661" s="3">
        <v>47595296</v>
      </c>
      <c r="H661" t="e">
        <f>VLOOKUP(G661,consolidado!$A$2:$B$656,2,FALSE)</f>
        <v>#N/A</v>
      </c>
    </row>
    <row r="662" spans="2:8" ht="17.399999999999999" customHeight="1">
      <c r="B662" s="4">
        <v>666</v>
      </c>
      <c r="C662" s="3" t="s">
        <v>1522</v>
      </c>
      <c r="D662" s="3" t="s">
        <v>1523</v>
      </c>
      <c r="E662" s="3" t="s">
        <v>22</v>
      </c>
      <c r="F662" s="3">
        <v>983517587</v>
      </c>
      <c r="G662" s="3">
        <v>40815158</v>
      </c>
      <c r="H662" t="e">
        <f>VLOOKUP(G662,consolidado!$A$2:$B$656,2,FALSE)</f>
        <v>#N/A</v>
      </c>
    </row>
    <row r="663" spans="2:8" ht="17.399999999999999" hidden="1" customHeight="1">
      <c r="B663" s="4">
        <v>667</v>
      </c>
      <c r="C663" s="3" t="s">
        <v>1524</v>
      </c>
      <c r="D663" s="3" t="s">
        <v>1525</v>
      </c>
      <c r="E663" s="3" t="s">
        <v>5</v>
      </c>
      <c r="F663" s="3">
        <v>960106705</v>
      </c>
      <c r="G663" s="3" t="s">
        <v>1526</v>
      </c>
      <c r="H663" t="e">
        <f>VLOOKUP(G663,consolidado!$A$2:$B$656,2,FALSE)</f>
        <v>#N/A</v>
      </c>
    </row>
    <row r="664" spans="2:8" ht="17.399999999999999" customHeight="1">
      <c r="B664" s="4">
        <v>668</v>
      </c>
      <c r="C664" s="3" t="s">
        <v>1527</v>
      </c>
      <c r="D664" s="3" t="s">
        <v>1528</v>
      </c>
      <c r="E664" s="3" t="s">
        <v>846</v>
      </c>
      <c r="F664" s="3">
        <v>946091022</v>
      </c>
      <c r="G664" s="3">
        <v>21868187</v>
      </c>
      <c r="H664" t="e">
        <f>VLOOKUP(G664,consolidado!$A$2:$B$656,2,FALSE)</f>
        <v>#N/A</v>
      </c>
    </row>
    <row r="665" spans="2:8" ht="17.399999999999999" customHeight="1">
      <c r="B665" s="4">
        <v>669</v>
      </c>
      <c r="C665" s="3" t="s">
        <v>1529</v>
      </c>
      <c r="D665" s="3" t="s">
        <v>1530</v>
      </c>
      <c r="E665" s="3" t="s">
        <v>19</v>
      </c>
      <c r="F665" s="3">
        <v>922868688</v>
      </c>
      <c r="G665" s="3">
        <v>46230717</v>
      </c>
      <c r="H665" t="e">
        <f>VLOOKUP(G665,consolidado!$A$2:$B$656,2,FALSE)</f>
        <v>#N/A</v>
      </c>
    </row>
    <row r="666" spans="2:8" ht="17.399999999999999" customHeight="1">
      <c r="B666" s="4">
        <v>670</v>
      </c>
      <c r="C666" s="3" t="s">
        <v>1531</v>
      </c>
      <c r="D666" s="3" t="s">
        <v>1532</v>
      </c>
      <c r="E666" s="3" t="s">
        <v>710</v>
      </c>
      <c r="F666" s="3">
        <v>906679025</v>
      </c>
      <c r="G666" s="3">
        <v>75811874</v>
      </c>
      <c r="H666" t="e">
        <f>VLOOKUP(G666,consolidado!$A$2:$B$656,2,FALSE)</f>
        <v>#N/A</v>
      </c>
    </row>
    <row r="667" spans="2:8" ht="17.399999999999999" hidden="1" customHeight="1">
      <c r="B667" s="4">
        <v>671</v>
      </c>
      <c r="C667" s="3" t="s">
        <v>1533</v>
      </c>
      <c r="D667" s="3" t="s">
        <v>1534</v>
      </c>
      <c r="E667" s="3" t="s">
        <v>14</v>
      </c>
      <c r="F667" s="3">
        <v>923177638</v>
      </c>
      <c r="G667" s="3">
        <v>41748230</v>
      </c>
      <c r="H667" t="e">
        <f>VLOOKUP(G667,consolidado!$A$2:$B$656,2,FALSE)</f>
        <v>#N/A</v>
      </c>
    </row>
    <row r="668" spans="2:8" ht="17.399999999999999" customHeight="1">
      <c r="B668" s="4">
        <v>672</v>
      </c>
      <c r="C668" s="3" t="s">
        <v>1535</v>
      </c>
      <c r="D668" s="3" t="s">
        <v>1335</v>
      </c>
      <c r="E668" s="3" t="s">
        <v>11</v>
      </c>
      <c r="F668" s="3">
        <v>928078497</v>
      </c>
      <c r="G668" s="3">
        <v>47328216</v>
      </c>
      <c r="H668" t="e">
        <f>VLOOKUP(G668,consolidado!$A$2:$B$656,2,FALSE)</f>
        <v>#N/A</v>
      </c>
    </row>
    <row r="669" spans="2:8" ht="17.399999999999999" customHeight="1">
      <c r="B669" s="4">
        <v>673</v>
      </c>
      <c r="C669" s="3" t="s">
        <v>1536</v>
      </c>
      <c r="D669" s="3" t="s">
        <v>1537</v>
      </c>
      <c r="E669" s="3" t="s">
        <v>710</v>
      </c>
      <c r="F669" s="3">
        <v>934181187</v>
      </c>
      <c r="G669" s="3">
        <v>21854339</v>
      </c>
      <c r="H669" t="e">
        <f>VLOOKUP(G669,consolidado!$A$2:$B$656,2,FALSE)</f>
        <v>#N/A</v>
      </c>
    </row>
    <row r="670" spans="2:8" ht="17.399999999999999" customHeight="1">
      <c r="B670" s="4">
        <v>674</v>
      </c>
      <c r="C670" s="3" t="s">
        <v>1538</v>
      </c>
      <c r="D670" s="3" t="s">
        <v>1539</v>
      </c>
      <c r="E670" s="3" t="s">
        <v>718</v>
      </c>
      <c r="F670" s="3">
        <v>979770491</v>
      </c>
      <c r="G670" s="3">
        <v>72391087</v>
      </c>
      <c r="H670" t="e">
        <f>VLOOKUP(G670,consolidado!$A$2:$B$656,2,FALSE)</f>
        <v>#N/A</v>
      </c>
    </row>
    <row r="671" spans="2:8" ht="17.399999999999999" customHeight="1">
      <c r="B671" s="4">
        <v>675</v>
      </c>
      <c r="C671" s="3" t="s">
        <v>1540</v>
      </c>
      <c r="D671" s="3" t="s">
        <v>1541</v>
      </c>
      <c r="E671" s="3" t="s">
        <v>8</v>
      </c>
      <c r="F671" s="3">
        <v>966334271</v>
      </c>
      <c r="G671" s="3">
        <v>21868301</v>
      </c>
      <c r="H671" t="e">
        <f>VLOOKUP(G671,consolidado!$A$2:$B$656,2,FALSE)</f>
        <v>#N/A</v>
      </c>
    </row>
    <row r="672" spans="2:8" ht="17.399999999999999" customHeight="1">
      <c r="B672" s="4">
        <v>676</v>
      </c>
      <c r="C672" s="3" t="s">
        <v>1542</v>
      </c>
      <c r="D672" s="3" t="s">
        <v>1543</v>
      </c>
      <c r="E672" s="3" t="s">
        <v>22</v>
      </c>
      <c r="F672" s="3">
        <v>995193384</v>
      </c>
      <c r="G672" s="3">
        <v>44503889</v>
      </c>
      <c r="H672" t="e">
        <f>VLOOKUP(G672,consolidado!$A$2:$B$656,2,FALSE)</f>
        <v>#N/A</v>
      </c>
    </row>
    <row r="673" spans="2:8" ht="17.399999999999999" customHeight="1">
      <c r="B673" s="4">
        <v>677</v>
      </c>
      <c r="C673" s="3" t="s">
        <v>1544</v>
      </c>
      <c r="D673" s="3" t="s">
        <v>1545</v>
      </c>
      <c r="E673" s="3" t="s">
        <v>106</v>
      </c>
      <c r="F673" s="3">
        <v>917331560</v>
      </c>
      <c r="G673" s="3">
        <v>77815510</v>
      </c>
      <c r="H673" t="e">
        <f>VLOOKUP(G673,consolidado!$A$2:$B$656,2,FALSE)</f>
        <v>#N/A</v>
      </c>
    </row>
    <row r="674" spans="2:8" ht="17.399999999999999" customHeight="1">
      <c r="B674" s="4">
        <v>678</v>
      </c>
      <c r="C674" s="3" t="s">
        <v>1546</v>
      </c>
      <c r="D674" s="3" t="s">
        <v>1547</v>
      </c>
      <c r="E674" s="3" t="s">
        <v>1106</v>
      </c>
      <c r="F674" s="3">
        <v>924120953</v>
      </c>
      <c r="G674" s="3">
        <v>43730793</v>
      </c>
      <c r="H674" t="e">
        <f>VLOOKUP(G674,consolidado!$A$2:$B$656,2,FALSE)</f>
        <v>#N/A</v>
      </c>
    </row>
    <row r="675" spans="2:8" ht="17.399999999999999" customHeight="1">
      <c r="B675" s="4">
        <v>679</v>
      </c>
      <c r="C675" s="3" t="s">
        <v>1548</v>
      </c>
      <c r="D675" s="3" t="s">
        <v>1549</v>
      </c>
      <c r="E675" s="3" t="s">
        <v>1106</v>
      </c>
      <c r="F675" s="3">
        <v>933513255</v>
      </c>
      <c r="G675" s="3">
        <v>21813176</v>
      </c>
      <c r="H675" t="e">
        <f>VLOOKUP(G675,consolidado!$A$2:$B$656,2,FALSE)</f>
        <v>#N/A</v>
      </c>
    </row>
    <row r="676" spans="2:8" ht="17.399999999999999" customHeight="1">
      <c r="B676" s="4">
        <v>680</v>
      </c>
      <c r="C676" s="3" t="s">
        <v>1550</v>
      </c>
      <c r="D676" s="3" t="s">
        <v>1551</v>
      </c>
      <c r="E676" s="3" t="s">
        <v>2</v>
      </c>
      <c r="F676" s="3">
        <v>934962269</v>
      </c>
      <c r="G676" s="3">
        <v>44173471</v>
      </c>
      <c r="H676" t="e">
        <f>VLOOKUP(G676,consolidado!$A$2:$B$656,2,FALSE)</f>
        <v>#N/A</v>
      </c>
    </row>
    <row r="677" spans="2:8" ht="17.399999999999999" customHeight="1">
      <c r="B677" s="4">
        <v>681</v>
      </c>
      <c r="C677" s="3" t="s">
        <v>1552</v>
      </c>
      <c r="D677" s="3" t="s">
        <v>1553</v>
      </c>
      <c r="E677" s="3" t="s">
        <v>317</v>
      </c>
      <c r="F677" s="3">
        <v>987388464</v>
      </c>
      <c r="G677" s="3">
        <v>46026160</v>
      </c>
      <c r="H677" t="e">
        <f>VLOOKUP(G677,consolidado!$A$2:$B$656,2,FALSE)</f>
        <v>#N/A</v>
      </c>
    </row>
    <row r="678" spans="2:8" ht="17.399999999999999" customHeight="1">
      <c r="B678" s="4">
        <v>682</v>
      </c>
      <c r="C678" s="3" t="s">
        <v>1554</v>
      </c>
      <c r="D678" s="3" t="s">
        <v>1555</v>
      </c>
      <c r="E678" s="3" t="s">
        <v>846</v>
      </c>
      <c r="F678" s="3">
        <v>943481294</v>
      </c>
      <c r="G678" s="3">
        <v>21867770</v>
      </c>
      <c r="H678" t="e">
        <f>VLOOKUP(G678,consolidado!$A$2:$B$656,2,FALSE)</f>
        <v>#N/A</v>
      </c>
    </row>
    <row r="679" spans="2:8" ht="17.399999999999999" hidden="1" customHeight="1">
      <c r="B679" s="4">
        <v>683</v>
      </c>
      <c r="C679" s="3" t="s">
        <v>1556</v>
      </c>
      <c r="D679" s="3" t="s">
        <v>1557</v>
      </c>
      <c r="E679" s="3" t="s">
        <v>718</v>
      </c>
      <c r="F679" s="3">
        <v>941327977</v>
      </c>
      <c r="G679" s="3">
        <v>41730654</v>
      </c>
      <c r="H679" t="e">
        <f>VLOOKUP(G679,consolidado!$A$2:$B$656,2,FALSE)</f>
        <v>#N/A</v>
      </c>
    </row>
    <row r="680" spans="2:8" ht="17.399999999999999" customHeight="1">
      <c r="B680" s="4">
        <v>684</v>
      </c>
      <c r="C680" s="3" t="s">
        <v>1558</v>
      </c>
      <c r="D680" s="3" t="s">
        <v>1559</v>
      </c>
      <c r="E680" s="3" t="s">
        <v>1106</v>
      </c>
      <c r="F680" s="3">
        <v>920363453</v>
      </c>
      <c r="G680" s="3">
        <v>46944616</v>
      </c>
      <c r="H680" t="e">
        <f>VLOOKUP(G680,consolidado!$A$2:$B$656,2,FALSE)</f>
        <v>#N/A</v>
      </c>
    </row>
    <row r="681" spans="2:8" ht="17.399999999999999" customHeight="1">
      <c r="B681" s="4">
        <v>685</v>
      </c>
      <c r="C681" s="3" t="s">
        <v>1560</v>
      </c>
      <c r="D681" s="3" t="s">
        <v>1561</v>
      </c>
      <c r="E681" s="3" t="s">
        <v>710</v>
      </c>
      <c r="F681" s="3">
        <v>931906915</v>
      </c>
      <c r="G681" s="3">
        <v>76029293</v>
      </c>
      <c r="H681" t="e">
        <f>VLOOKUP(G681,consolidado!$A$2:$B$656,2,FALSE)</f>
        <v>#N/A</v>
      </c>
    </row>
    <row r="682" spans="2:8" ht="17.399999999999999" customHeight="1">
      <c r="B682" s="4">
        <v>686</v>
      </c>
      <c r="C682" s="3" t="s">
        <v>1562</v>
      </c>
      <c r="D682" s="3" t="s">
        <v>1563</v>
      </c>
      <c r="E682" s="3" t="s">
        <v>846</v>
      </c>
      <c r="F682" s="3">
        <v>904961235</v>
      </c>
      <c r="G682" s="3">
        <v>45625887</v>
      </c>
      <c r="H682" t="e">
        <f>VLOOKUP(G682,consolidado!$A$2:$B$656,2,FALSE)</f>
        <v>#N/A</v>
      </c>
    </row>
    <row r="683" spans="2:8" ht="17.399999999999999" hidden="1" customHeight="1">
      <c r="B683" s="7">
        <v>1</v>
      </c>
      <c r="C683" s="3" t="s">
        <v>1570</v>
      </c>
      <c r="D683" s="3" t="s">
        <v>1571</v>
      </c>
      <c r="E683" s="3" t="s">
        <v>1572</v>
      </c>
      <c r="F683" s="3">
        <v>993440006</v>
      </c>
      <c r="G683" s="3">
        <v>44960165</v>
      </c>
      <c r="H683" t="e">
        <f>VLOOKUP(G683,consolidado!$A$2:$B$656,2,FALSE)</f>
        <v>#N/A</v>
      </c>
    </row>
    <row r="684" spans="2:8" ht="17.399999999999999" hidden="1" customHeight="1">
      <c r="B684" s="7">
        <v>2</v>
      </c>
      <c r="C684" s="3" t="s">
        <v>1573</v>
      </c>
      <c r="D684" s="3" t="s">
        <v>1574</v>
      </c>
      <c r="E684" s="3" t="s">
        <v>1575</v>
      </c>
      <c r="F684" s="3">
        <v>969971167</v>
      </c>
      <c r="G684" s="3">
        <v>44219860</v>
      </c>
      <c r="H684" t="e">
        <f>VLOOKUP(G684,consolidado!$A$2:$B$656,2,FALSE)</f>
        <v>#N/A</v>
      </c>
    </row>
    <row r="685" spans="2:8" ht="17.399999999999999" hidden="1" customHeight="1">
      <c r="B685" s="7">
        <v>3</v>
      </c>
      <c r="C685" s="3" t="s">
        <v>1576</v>
      </c>
      <c r="D685" s="3" t="s">
        <v>1577</v>
      </c>
      <c r="E685" s="3" t="s">
        <v>1572</v>
      </c>
      <c r="F685" s="3">
        <v>923501124</v>
      </c>
      <c r="G685" s="3">
        <v>45220774</v>
      </c>
      <c r="H685" t="e">
        <f>VLOOKUP(G685,consolidado!$A$2:$B$656,2,FALSE)</f>
        <v>#N/A</v>
      </c>
    </row>
    <row r="686" spans="2:8" ht="17.399999999999999" customHeight="1">
      <c r="B686" s="7">
        <v>4</v>
      </c>
      <c r="C686" s="3" t="s">
        <v>1578</v>
      </c>
      <c r="D686" s="3" t="s">
        <v>1579</v>
      </c>
      <c r="E686" s="3" t="s">
        <v>1572</v>
      </c>
      <c r="F686" s="3">
        <v>945780584</v>
      </c>
      <c r="G686" s="3">
        <v>21847928</v>
      </c>
      <c r="H686" t="e">
        <f>VLOOKUP(G686,consolidado!$A$2:$B$656,2,FALSE)</f>
        <v>#N/A</v>
      </c>
    </row>
    <row r="687" spans="2:8" ht="17.399999999999999" hidden="1" customHeight="1">
      <c r="B687" s="7">
        <v>5</v>
      </c>
      <c r="C687" s="3" t="s">
        <v>1580</v>
      </c>
      <c r="D687" s="3" t="s">
        <v>1581</v>
      </c>
      <c r="E687" s="3" t="s">
        <v>1582</v>
      </c>
      <c r="F687" s="3">
        <v>935252637</v>
      </c>
      <c r="G687" s="3">
        <v>43353994</v>
      </c>
      <c r="H687" t="e">
        <f>VLOOKUP(G687,consolidado!$A$2:$B$656,2,FALSE)</f>
        <v>#N/A</v>
      </c>
    </row>
    <row r="688" spans="2:8" ht="17.399999999999999" hidden="1" customHeight="1">
      <c r="B688" s="7">
        <v>6</v>
      </c>
      <c r="C688" s="3" t="s">
        <v>1583</v>
      </c>
      <c r="D688" s="3" t="s">
        <v>1584</v>
      </c>
      <c r="E688" s="3" t="s">
        <v>1582</v>
      </c>
      <c r="F688" s="3">
        <v>983963808</v>
      </c>
      <c r="G688" s="3">
        <v>47750177</v>
      </c>
      <c r="H688" t="e">
        <f>VLOOKUP(G688,consolidado!$A$2:$B$656,2,FALSE)</f>
        <v>#N/A</v>
      </c>
    </row>
    <row r="689" spans="2:8" ht="17.399999999999999" hidden="1" customHeight="1">
      <c r="B689" s="7">
        <v>7</v>
      </c>
      <c r="C689" s="3" t="s">
        <v>1585</v>
      </c>
      <c r="D689" s="3" t="s">
        <v>1586</v>
      </c>
      <c r="E689" s="1"/>
      <c r="F689" s="3" t="s">
        <v>1587</v>
      </c>
      <c r="G689" s="3">
        <v>21866885</v>
      </c>
      <c r="H689" t="e">
        <f>VLOOKUP(G689,consolidado!$A$2:$B$656,2,FALSE)</f>
        <v>#N/A</v>
      </c>
    </row>
    <row r="690" spans="2:8" ht="17.399999999999999" hidden="1" customHeight="1">
      <c r="B690" s="7">
        <v>8</v>
      </c>
      <c r="C690" s="3" t="s">
        <v>1588</v>
      </c>
      <c r="D690" s="3" t="s">
        <v>1589</v>
      </c>
      <c r="E690" s="3" t="s">
        <v>1582</v>
      </c>
      <c r="F690" s="3">
        <v>987140176</v>
      </c>
      <c r="G690" s="3">
        <v>73904016</v>
      </c>
      <c r="H690" t="e">
        <f>VLOOKUP(G690,consolidado!$A$2:$B$656,2,FALSE)</f>
        <v>#N/A</v>
      </c>
    </row>
    <row r="691" spans="2:8" ht="17.399999999999999" hidden="1" customHeight="1">
      <c r="B691" s="7">
        <v>9</v>
      </c>
      <c r="C691" s="3" t="s">
        <v>1590</v>
      </c>
      <c r="D691" s="3" t="s">
        <v>1591</v>
      </c>
      <c r="E691" s="3" t="s">
        <v>1582</v>
      </c>
      <c r="F691" s="3">
        <v>917443551</v>
      </c>
      <c r="G691" s="3">
        <v>76566228</v>
      </c>
      <c r="H691" t="e">
        <f>VLOOKUP(G691,consolidado!$A$2:$B$656,2,FALSE)</f>
        <v>#N/A</v>
      </c>
    </row>
    <row r="692" spans="2:8" ht="17.399999999999999" hidden="1" customHeight="1">
      <c r="B692" s="7">
        <v>10</v>
      </c>
      <c r="C692" s="3" t="s">
        <v>1592</v>
      </c>
      <c r="D692" s="3" t="s">
        <v>1593</v>
      </c>
      <c r="E692" s="3" t="s">
        <v>1594</v>
      </c>
      <c r="F692" s="3">
        <v>970705100</v>
      </c>
      <c r="G692" s="3">
        <v>21874409</v>
      </c>
      <c r="H692" t="e">
        <f>VLOOKUP(G692,consolidado!$A$2:$B$656,2,FALSE)</f>
        <v>#N/A</v>
      </c>
    </row>
    <row r="693" spans="2:8" ht="17.399999999999999" hidden="1" customHeight="1">
      <c r="B693" s="7">
        <v>11</v>
      </c>
      <c r="C693" s="3" t="s">
        <v>1595</v>
      </c>
      <c r="D693" s="3" t="s">
        <v>1596</v>
      </c>
      <c r="E693" s="3" t="s">
        <v>1594</v>
      </c>
      <c r="F693" s="3">
        <v>913079273</v>
      </c>
      <c r="G693" s="3">
        <v>47071800</v>
      </c>
      <c r="H693" t="e">
        <f>VLOOKUP(G693,consolidado!$A$2:$B$656,2,FALSE)</f>
        <v>#N/A</v>
      </c>
    </row>
    <row r="694" spans="2:8" ht="17.399999999999999" hidden="1" customHeight="1">
      <c r="B694" s="7">
        <v>12</v>
      </c>
      <c r="C694" s="3" t="s">
        <v>1597</v>
      </c>
      <c r="D694" s="3" t="s">
        <v>1598</v>
      </c>
      <c r="E694" s="3" t="s">
        <v>1594</v>
      </c>
      <c r="F694" s="3">
        <v>934160348</v>
      </c>
      <c r="G694" s="3">
        <v>44423966</v>
      </c>
      <c r="H694" t="e">
        <f>VLOOKUP(G694,consolidado!$A$2:$B$656,2,FALSE)</f>
        <v>#N/A</v>
      </c>
    </row>
    <row r="695" spans="2:8" ht="17.399999999999999" hidden="1" customHeight="1">
      <c r="B695" s="7">
        <v>13</v>
      </c>
      <c r="C695" s="3" t="s">
        <v>1599</v>
      </c>
      <c r="D695" s="3" t="s">
        <v>1600</v>
      </c>
      <c r="E695" s="3" t="s">
        <v>1594</v>
      </c>
      <c r="F695" s="3">
        <v>980221807</v>
      </c>
      <c r="G695" s="3">
        <v>42086543</v>
      </c>
      <c r="H695" t="e">
        <f>VLOOKUP(G695,consolidado!$A$2:$B$656,2,FALSE)</f>
        <v>#N/A</v>
      </c>
    </row>
    <row r="696" spans="2:8" ht="17.399999999999999" hidden="1" customHeight="1">
      <c r="B696" s="7">
        <v>14</v>
      </c>
      <c r="C696" s="3" t="s">
        <v>1601</v>
      </c>
      <c r="D696" s="3" t="s">
        <v>1602</v>
      </c>
      <c r="E696" s="3" t="s">
        <v>1594</v>
      </c>
      <c r="F696" s="3">
        <v>930581819</v>
      </c>
      <c r="G696" s="3">
        <v>71472263</v>
      </c>
      <c r="H696" t="e">
        <f>VLOOKUP(G696,consolidado!$A$2:$B$656,2,FALSE)</f>
        <v>#N/A</v>
      </c>
    </row>
    <row r="697" spans="2:8" ht="17.399999999999999" hidden="1" customHeight="1">
      <c r="B697" s="7">
        <v>15</v>
      </c>
      <c r="C697" s="3" t="s">
        <v>1252</v>
      </c>
      <c r="D697" s="3" t="s">
        <v>1603</v>
      </c>
      <c r="E697" s="3" t="s">
        <v>1594</v>
      </c>
      <c r="F697" s="3">
        <v>940583772</v>
      </c>
      <c r="G697" s="3">
        <v>70249354</v>
      </c>
      <c r="H697" t="e">
        <f>VLOOKUP(G697,consolidado!$A$2:$B$656,2,FALSE)</f>
        <v>#N/A</v>
      </c>
    </row>
    <row r="698" spans="2:8" ht="17.399999999999999" hidden="1" customHeight="1">
      <c r="B698" s="7">
        <v>16</v>
      </c>
      <c r="C698" s="3" t="s">
        <v>1604</v>
      </c>
      <c r="D698" s="3" t="s">
        <v>1605</v>
      </c>
      <c r="E698" s="3" t="s">
        <v>1594</v>
      </c>
      <c r="F698" s="3">
        <v>922918771</v>
      </c>
      <c r="G698" s="3">
        <v>40540779</v>
      </c>
      <c r="H698" t="e">
        <f>VLOOKUP(G698,consolidado!$A$2:$B$656,2,FALSE)</f>
        <v>#N/A</v>
      </c>
    </row>
    <row r="699" spans="2:8" ht="17.399999999999999" hidden="1" customHeight="1">
      <c r="B699" s="7">
        <v>17</v>
      </c>
      <c r="C699" s="3" t="s">
        <v>1606</v>
      </c>
      <c r="D699" s="3" t="s">
        <v>1607</v>
      </c>
      <c r="E699" s="3" t="s">
        <v>1594</v>
      </c>
      <c r="F699" s="3">
        <v>956434279</v>
      </c>
      <c r="G699" s="3">
        <v>21881419</v>
      </c>
      <c r="H699" t="e">
        <f>VLOOKUP(G699,consolidado!$A$2:$B$656,2,FALSE)</f>
        <v>#N/A</v>
      </c>
    </row>
    <row r="700" spans="2:8" ht="17.399999999999999" hidden="1" customHeight="1">
      <c r="B700" s="7">
        <v>18</v>
      </c>
      <c r="C700" s="3" t="s">
        <v>1608</v>
      </c>
      <c r="D700" s="3" t="s">
        <v>1609</v>
      </c>
      <c r="E700" s="3" t="s">
        <v>1610</v>
      </c>
      <c r="F700" s="3">
        <v>995719091</v>
      </c>
      <c r="G700" s="3" t="s">
        <v>1611</v>
      </c>
      <c r="H700" t="e">
        <f>VLOOKUP(G700,consolidado!$A$2:$B$656,2,FALSE)</f>
        <v>#N/A</v>
      </c>
    </row>
    <row r="701" spans="2:8" ht="17.399999999999999" hidden="1" customHeight="1">
      <c r="B701" s="7">
        <v>19</v>
      </c>
      <c r="C701" s="3" t="s">
        <v>1612</v>
      </c>
      <c r="D701" s="3" t="s">
        <v>1613</v>
      </c>
      <c r="E701" s="3" t="s">
        <v>1610</v>
      </c>
      <c r="F701" s="3">
        <v>941778098</v>
      </c>
      <c r="G701" s="3" t="s">
        <v>1614</v>
      </c>
      <c r="H701" t="e">
        <f>VLOOKUP(G701,consolidado!$A$2:$B$656,2,FALSE)</f>
        <v>#N/A</v>
      </c>
    </row>
    <row r="702" spans="2:8" ht="17.399999999999999" customHeight="1">
      <c r="B702" s="7">
        <v>20</v>
      </c>
      <c r="C702" s="3" t="s">
        <v>1615</v>
      </c>
      <c r="D702" s="3" t="s">
        <v>1616</v>
      </c>
      <c r="E702" s="3" t="s">
        <v>1610</v>
      </c>
      <c r="F702" s="3" t="s">
        <v>1617</v>
      </c>
      <c r="G702" s="3">
        <v>42522787</v>
      </c>
      <c r="H702" t="e">
        <f>VLOOKUP(G702,consolidado!$A$2:$B$656,2,FALSE)</f>
        <v>#N/A</v>
      </c>
    </row>
    <row r="703" spans="2:8" ht="17.399999999999999" hidden="1" customHeight="1">
      <c r="B703" s="7">
        <v>21</v>
      </c>
      <c r="C703" s="3" t="s">
        <v>1618</v>
      </c>
      <c r="D703" s="3" t="s">
        <v>1619</v>
      </c>
      <c r="E703" s="3" t="s">
        <v>1610</v>
      </c>
      <c r="F703" s="3">
        <v>964443204</v>
      </c>
      <c r="G703" s="3">
        <v>43332030</v>
      </c>
      <c r="H703" t="e">
        <f>VLOOKUP(G703,consolidado!$A$2:$B$656,2,FALSE)</f>
        <v>#N/A</v>
      </c>
    </row>
    <row r="704" spans="2:8" ht="17.399999999999999" hidden="1" customHeight="1">
      <c r="B704" s="7">
        <v>22</v>
      </c>
      <c r="C704" s="3" t="s">
        <v>1620</v>
      </c>
      <c r="D704" s="3" t="s">
        <v>1621</v>
      </c>
      <c r="E704" s="3" t="s">
        <v>1622</v>
      </c>
      <c r="F704" s="3">
        <v>980828592</v>
      </c>
      <c r="G704" s="3">
        <v>75874825</v>
      </c>
      <c r="H704" t="e">
        <f>VLOOKUP(G704,consolidado!$A$2:$B$656,2,FALSE)</f>
        <v>#N/A</v>
      </c>
    </row>
    <row r="705" spans="2:8" ht="17.399999999999999" hidden="1" customHeight="1">
      <c r="B705" s="7">
        <v>23</v>
      </c>
      <c r="C705" s="3" t="s">
        <v>1623</v>
      </c>
      <c r="D705" s="3" t="s">
        <v>1624</v>
      </c>
      <c r="E705" s="1"/>
      <c r="F705" s="3">
        <v>933433628</v>
      </c>
      <c r="G705" s="3">
        <v>42605824</v>
      </c>
      <c r="H705" t="e">
        <f>VLOOKUP(G705,consolidado!$A$2:$B$656,2,FALSE)</f>
        <v>#N/A</v>
      </c>
    </row>
    <row r="706" spans="2:8" ht="17.399999999999999" hidden="1" customHeight="1">
      <c r="B706" s="7">
        <v>24</v>
      </c>
      <c r="C706" s="3" t="s">
        <v>1625</v>
      </c>
      <c r="D706" s="3" t="s">
        <v>1626</v>
      </c>
      <c r="E706" s="3" t="s">
        <v>1627</v>
      </c>
      <c r="F706" s="3">
        <v>994848235</v>
      </c>
      <c r="G706" s="3">
        <v>77464373</v>
      </c>
      <c r="H706" t="e">
        <f>VLOOKUP(G706,consolidado!$A$2:$B$656,2,FALSE)</f>
        <v>#N/A</v>
      </c>
    </row>
    <row r="707" spans="2:8" ht="17.399999999999999" hidden="1" customHeight="1">
      <c r="B707" s="7">
        <v>25</v>
      </c>
      <c r="C707" s="3" t="s">
        <v>1628</v>
      </c>
      <c r="D707" s="3" t="s">
        <v>1629</v>
      </c>
      <c r="E707" s="3" t="s">
        <v>1622</v>
      </c>
      <c r="F707" s="3">
        <v>944049975</v>
      </c>
      <c r="G707" s="3">
        <v>72757929</v>
      </c>
      <c r="H707" t="e">
        <f>VLOOKUP(G707,consolidado!$A$2:$B$656,2,FALSE)</f>
        <v>#N/A</v>
      </c>
    </row>
    <row r="708" spans="2:8" ht="17.399999999999999" hidden="1" customHeight="1">
      <c r="B708" s="7">
        <v>26</v>
      </c>
      <c r="C708" s="3" t="s">
        <v>1630</v>
      </c>
      <c r="D708" s="3" t="s">
        <v>1631</v>
      </c>
      <c r="E708" s="3" t="s">
        <v>1627</v>
      </c>
      <c r="F708" s="3">
        <v>976916535</v>
      </c>
      <c r="G708" s="3">
        <v>41256038</v>
      </c>
      <c r="H708" t="e">
        <f>VLOOKUP(G708,consolidado!$A$2:$B$656,2,FALSE)</f>
        <v>#N/A</v>
      </c>
    </row>
    <row r="709" spans="2:8" ht="17.399999999999999" hidden="1" customHeight="1">
      <c r="B709" s="7">
        <v>27</v>
      </c>
      <c r="C709" s="3" t="s">
        <v>1632</v>
      </c>
      <c r="D709" s="3" t="s">
        <v>1633</v>
      </c>
      <c r="E709" s="3" t="s">
        <v>1627</v>
      </c>
      <c r="F709" s="3">
        <v>936619041</v>
      </c>
      <c r="G709" s="3">
        <v>21868165</v>
      </c>
      <c r="H709" t="e">
        <f>VLOOKUP(G709,consolidado!$A$2:$B$656,2,FALSE)</f>
        <v>#N/A</v>
      </c>
    </row>
    <row r="710" spans="2:8" ht="17.399999999999999" hidden="1" customHeight="1">
      <c r="B710" s="7">
        <v>28</v>
      </c>
      <c r="C710" s="3" t="s">
        <v>1634</v>
      </c>
      <c r="D710" s="3" t="s">
        <v>1635</v>
      </c>
      <c r="E710" s="3" t="s">
        <v>1622</v>
      </c>
      <c r="F710" s="3">
        <v>994281157</v>
      </c>
      <c r="G710" s="3">
        <v>21854034</v>
      </c>
      <c r="H710" t="e">
        <f>VLOOKUP(G710,consolidado!$A$2:$B$656,2,FALSE)</f>
        <v>#N/A</v>
      </c>
    </row>
    <row r="711" spans="2:8" ht="17.399999999999999" hidden="1" customHeight="1">
      <c r="B711" s="7">
        <v>29</v>
      </c>
      <c r="C711" s="3" t="s">
        <v>1636</v>
      </c>
      <c r="D711" s="3" t="s">
        <v>1637</v>
      </c>
      <c r="E711" s="1"/>
      <c r="F711" s="3">
        <v>988529924</v>
      </c>
      <c r="G711" s="3">
        <v>21886411</v>
      </c>
      <c r="H711" t="e">
        <f>VLOOKUP(G711,consolidado!$A$2:$B$656,2,FALSE)</f>
        <v>#N/A</v>
      </c>
    </row>
    <row r="712" spans="2:8" ht="17.399999999999999" hidden="1" customHeight="1">
      <c r="B712" s="7">
        <v>30</v>
      </c>
      <c r="C712" s="3" t="s">
        <v>1638</v>
      </c>
      <c r="D712" s="3" t="s">
        <v>1639</v>
      </c>
      <c r="E712" s="1"/>
      <c r="F712" s="3">
        <v>923069145</v>
      </c>
      <c r="G712" s="3">
        <v>43362314</v>
      </c>
      <c r="H712" t="e">
        <f>VLOOKUP(G712,consolidado!$A$2:$B$656,2,FALSE)</f>
        <v>#N/A</v>
      </c>
    </row>
    <row r="713" spans="2:8" ht="17.399999999999999" hidden="1" customHeight="1">
      <c r="B713" s="7">
        <v>31</v>
      </c>
      <c r="C713" s="3" t="s">
        <v>1640</v>
      </c>
      <c r="D713" s="3" t="s">
        <v>1641</v>
      </c>
      <c r="E713" s="3" t="s">
        <v>1627</v>
      </c>
      <c r="F713" s="3">
        <v>966978545</v>
      </c>
      <c r="G713" s="3">
        <v>21884421</v>
      </c>
      <c r="H713" t="e">
        <f>VLOOKUP(G713,consolidado!$A$2:$B$656,2,FALSE)</f>
        <v>#N/A</v>
      </c>
    </row>
    <row r="714" spans="2:8" ht="17.399999999999999" hidden="1" customHeight="1">
      <c r="B714" s="7">
        <v>32</v>
      </c>
      <c r="C714" s="3" t="s">
        <v>1643</v>
      </c>
      <c r="D714" s="3" t="s">
        <v>1644</v>
      </c>
      <c r="E714" s="3" t="s">
        <v>1642</v>
      </c>
      <c r="F714" s="3">
        <v>923716112</v>
      </c>
      <c r="G714" s="3">
        <v>22318174</v>
      </c>
      <c r="H714" t="e">
        <f>VLOOKUP(G714,consolidado!$A$2:$B$656,2,FALSE)</f>
        <v>#N/A</v>
      </c>
    </row>
    <row r="715" spans="2:8" ht="17.399999999999999" hidden="1" customHeight="1">
      <c r="B715" s="7">
        <v>33</v>
      </c>
      <c r="C715" s="3" t="s">
        <v>1645</v>
      </c>
      <c r="D715" s="3" t="s">
        <v>1646</v>
      </c>
      <c r="E715" s="3" t="s">
        <v>1642</v>
      </c>
      <c r="F715" s="3">
        <v>977905532</v>
      </c>
      <c r="G715" s="3">
        <v>21873717</v>
      </c>
      <c r="H715" t="e">
        <f>VLOOKUP(G715,consolidado!$A$2:$B$656,2,FALSE)</f>
        <v>#N/A</v>
      </c>
    </row>
    <row r="716" spans="2:8" ht="17.399999999999999" hidden="1" customHeight="1">
      <c r="B716" s="7">
        <v>34</v>
      </c>
      <c r="C716" s="3" t="s">
        <v>1647</v>
      </c>
      <c r="D716" s="3" t="s">
        <v>1648</v>
      </c>
      <c r="E716" s="3" t="s">
        <v>1642</v>
      </c>
      <c r="F716" s="3">
        <v>902650710</v>
      </c>
      <c r="G716" s="3">
        <v>40870868</v>
      </c>
      <c r="H716" t="e">
        <f>VLOOKUP(G716,consolidado!$A$2:$B$656,2,FALSE)</f>
        <v>#N/A</v>
      </c>
    </row>
    <row r="717" spans="2:8" ht="17.399999999999999" hidden="1" customHeight="1">
      <c r="B717" s="7">
        <v>35</v>
      </c>
      <c r="C717" s="3" t="s">
        <v>1649</v>
      </c>
      <c r="D717" s="3" t="s">
        <v>1650</v>
      </c>
      <c r="E717" s="3" t="s">
        <v>1642</v>
      </c>
      <c r="F717" s="3">
        <v>998375132</v>
      </c>
      <c r="G717" s="3">
        <v>21886081</v>
      </c>
      <c r="H717" t="e">
        <f>VLOOKUP(G717,consolidado!$A$2:$B$656,2,FALSE)</f>
        <v>#N/A</v>
      </c>
    </row>
    <row r="718" spans="2:8" ht="17.399999999999999" hidden="1" customHeight="1">
      <c r="B718" s="7">
        <v>36</v>
      </c>
      <c r="C718" s="3" t="s">
        <v>1651</v>
      </c>
      <c r="D718" s="3" t="s">
        <v>1652</v>
      </c>
      <c r="E718" s="3" t="s">
        <v>1642</v>
      </c>
      <c r="F718" s="3">
        <v>933815652</v>
      </c>
      <c r="G718" s="3">
        <v>40753258</v>
      </c>
      <c r="H718" t="e">
        <f>VLOOKUP(G718,consolidado!$A$2:$B$656,2,FALSE)</f>
        <v>#N/A</v>
      </c>
    </row>
    <row r="719" spans="2:8" ht="17.399999999999999" hidden="1" customHeight="1">
      <c r="B719" s="7">
        <v>37</v>
      </c>
      <c r="C719" s="3" t="s">
        <v>1653</v>
      </c>
      <c r="D719" s="3" t="s">
        <v>1654</v>
      </c>
      <c r="E719" s="3" t="s">
        <v>1642</v>
      </c>
      <c r="F719" s="3">
        <v>921424974</v>
      </c>
      <c r="G719" s="3">
        <v>42873960</v>
      </c>
      <c r="H719" t="e">
        <f>VLOOKUP(G719,consolidado!$A$2:$B$656,2,FALSE)</f>
        <v>#N/A</v>
      </c>
    </row>
    <row r="720" spans="2:8" ht="17.399999999999999" hidden="1" customHeight="1">
      <c r="B720" s="7">
        <v>38</v>
      </c>
      <c r="C720" s="3" t="s">
        <v>1655</v>
      </c>
      <c r="D720" s="3" t="s">
        <v>1656</v>
      </c>
      <c r="E720" s="3" t="s">
        <v>1642</v>
      </c>
      <c r="F720" s="3">
        <v>949799352</v>
      </c>
      <c r="G720" s="3">
        <v>73503256</v>
      </c>
      <c r="H720" t="e">
        <f>VLOOKUP(G720,consolidado!$A$2:$B$656,2,FALSE)</f>
        <v>#N/A</v>
      </c>
    </row>
    <row r="721" spans="2:8" ht="17.399999999999999" hidden="1" customHeight="1">
      <c r="B721" s="7">
        <v>39</v>
      </c>
      <c r="C721" s="3" t="s">
        <v>1657</v>
      </c>
      <c r="D721" s="3" t="s">
        <v>1658</v>
      </c>
      <c r="E721" s="1"/>
      <c r="F721" s="3">
        <v>990519702</v>
      </c>
      <c r="G721" s="3">
        <v>21854135</v>
      </c>
      <c r="H721" t="e">
        <f>VLOOKUP(G721,consolidado!$A$2:$B$656,2,FALSE)</f>
        <v>#N/A</v>
      </c>
    </row>
    <row r="722" spans="2:8" ht="17.399999999999999" hidden="1" customHeight="1">
      <c r="B722" s="7">
        <v>40</v>
      </c>
      <c r="C722" s="3" t="s">
        <v>1659</v>
      </c>
      <c r="D722" s="3" t="s">
        <v>1660</v>
      </c>
      <c r="E722" s="3" t="s">
        <v>1642</v>
      </c>
      <c r="F722" s="3" t="s">
        <v>1661</v>
      </c>
      <c r="G722" s="3">
        <v>44879432</v>
      </c>
      <c r="H722" t="e">
        <f>VLOOKUP(G722,consolidado!$A$2:$B$656,2,FALSE)</f>
        <v>#N/A</v>
      </c>
    </row>
    <row r="723" spans="2:8" ht="17.399999999999999" hidden="1" customHeight="1">
      <c r="B723" s="7">
        <v>41</v>
      </c>
      <c r="C723" s="3" t="s">
        <v>1662</v>
      </c>
      <c r="D723" s="3" t="s">
        <v>1663</v>
      </c>
      <c r="E723" s="3" t="s">
        <v>1622</v>
      </c>
      <c r="F723" s="3">
        <v>907855329</v>
      </c>
      <c r="G723" s="3">
        <v>45841421</v>
      </c>
      <c r="H723" t="e">
        <f>VLOOKUP(G723,consolidado!$A$2:$B$656,2,FALSE)</f>
        <v>#N/A</v>
      </c>
    </row>
    <row r="724" spans="2:8" ht="17.399999999999999" hidden="1" customHeight="1">
      <c r="B724" s="7">
        <v>42</v>
      </c>
      <c r="C724" s="3" t="s">
        <v>1664</v>
      </c>
      <c r="D724" s="3" t="s">
        <v>1665</v>
      </c>
      <c r="E724" s="3" t="s">
        <v>1627</v>
      </c>
      <c r="F724" s="3">
        <v>970559726</v>
      </c>
      <c r="G724" s="3">
        <v>70460727</v>
      </c>
      <c r="H724" t="e">
        <f>VLOOKUP(G724,consolidado!$A$2:$B$656,2,FALSE)</f>
        <v>#N/A</v>
      </c>
    </row>
    <row r="725" spans="2:8" ht="17.399999999999999" hidden="1" customHeight="1">
      <c r="B725" s="7">
        <v>43</v>
      </c>
      <c r="C725" s="3" t="s">
        <v>1666</v>
      </c>
      <c r="D725" s="3" t="s">
        <v>1667</v>
      </c>
      <c r="E725" s="3" t="s">
        <v>1627</v>
      </c>
      <c r="F725" s="3">
        <v>924256300</v>
      </c>
      <c r="G725" s="3">
        <v>40146976</v>
      </c>
      <c r="H725" t="e">
        <f>VLOOKUP(G725,consolidado!$A$2:$B$656,2,FALSE)</f>
        <v>#N/A</v>
      </c>
    </row>
    <row r="726" spans="2:8" ht="17.399999999999999" hidden="1" customHeight="1">
      <c r="B726" s="7">
        <v>44</v>
      </c>
      <c r="C726" s="3" t="s">
        <v>1668</v>
      </c>
      <c r="D726" s="3" t="s">
        <v>1669</v>
      </c>
      <c r="E726" s="3" t="s">
        <v>1622</v>
      </c>
      <c r="F726" s="3" t="s">
        <v>1670</v>
      </c>
      <c r="G726" s="3">
        <v>70460220</v>
      </c>
      <c r="H726" t="e">
        <f>VLOOKUP(G726,consolidado!$A$2:$B$656,2,FALSE)</f>
        <v>#N/A</v>
      </c>
    </row>
    <row r="727" spans="2:8" ht="17.399999999999999" customHeight="1">
      <c r="B727" s="7">
        <v>45</v>
      </c>
      <c r="C727" s="3" t="s">
        <v>1671</v>
      </c>
      <c r="D727" s="3" t="s">
        <v>1672</v>
      </c>
      <c r="E727" s="3" t="s">
        <v>1582</v>
      </c>
      <c r="F727" s="3">
        <v>970308467</v>
      </c>
      <c r="G727" s="3">
        <v>21881364</v>
      </c>
      <c r="H727" t="e">
        <f>VLOOKUP(G727,consolidado!$A$2:$B$656,2,FALSE)</f>
        <v>#N/A</v>
      </c>
    </row>
    <row r="728" spans="2:8" ht="17.399999999999999" hidden="1" customHeight="1">
      <c r="B728" s="7">
        <v>46</v>
      </c>
      <c r="C728" s="3" t="s">
        <v>1673</v>
      </c>
      <c r="D728" s="3" t="s">
        <v>1674</v>
      </c>
      <c r="E728" s="3" t="s">
        <v>1594</v>
      </c>
      <c r="F728" s="3">
        <v>930719756</v>
      </c>
      <c r="G728" s="3">
        <v>21875978</v>
      </c>
      <c r="H728" t="e">
        <f>VLOOKUP(G728,consolidado!$A$2:$B$656,2,FALSE)</f>
        <v>#N/A</v>
      </c>
    </row>
    <row r="729" spans="2:8" ht="17.399999999999999" customHeight="1">
      <c r="B729" s="7">
        <v>47</v>
      </c>
      <c r="C729" s="3" t="s">
        <v>1675</v>
      </c>
      <c r="D729" s="3" t="s">
        <v>1676</v>
      </c>
      <c r="E729" s="3" t="s">
        <v>1582</v>
      </c>
      <c r="F729" s="3">
        <v>981678201</v>
      </c>
      <c r="G729" s="3">
        <v>76139722</v>
      </c>
      <c r="H729" t="e">
        <f>VLOOKUP(G729,consolidado!$A$2:$B$656,2,FALSE)</f>
        <v>#N/A</v>
      </c>
    </row>
  </sheetData>
  <autoFilter ref="B2:H729" xr:uid="{00000000-0001-0000-0000-000000000000}">
    <filterColumn colId="6">
      <filters>
        <filter val="#N/D"/>
      </filters>
    </filterColumn>
  </autoFilter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A950-253B-49FB-B421-7FDFB9D890E4}">
  <dimension ref="A1:I783"/>
  <sheetViews>
    <sheetView tabSelected="1" workbookViewId="0">
      <selection activeCell="D13" sqref="D13"/>
    </sheetView>
  </sheetViews>
  <sheetFormatPr baseColWidth="10" defaultRowHeight="14.4"/>
  <cols>
    <col min="1" max="1" width="11.44140625" style="2"/>
    <col min="2" max="2" width="46.44140625" style="9" customWidth="1"/>
    <col min="3" max="3" width="23" style="9" customWidth="1"/>
    <col min="4" max="4" width="21.6640625" style="9" customWidth="1"/>
    <col min="5" max="5" width="20.109375" style="9" customWidth="1"/>
    <col min="6" max="6" width="14" style="9" customWidth="1"/>
    <col min="7" max="7" width="14.88671875" style="12" customWidth="1"/>
    <col min="8" max="8" width="11.44140625" style="9"/>
  </cols>
  <sheetData>
    <row r="1" spans="1:9">
      <c r="A1" s="11" t="s">
        <v>1724</v>
      </c>
      <c r="B1" s="8" t="s">
        <v>1716</v>
      </c>
      <c r="C1" s="8" t="s">
        <v>1717</v>
      </c>
      <c r="D1" s="8" t="s">
        <v>1718</v>
      </c>
      <c r="E1" s="8" t="s">
        <v>1566</v>
      </c>
      <c r="F1" s="8" t="s">
        <v>1719</v>
      </c>
      <c r="G1" s="11" t="s">
        <v>1564</v>
      </c>
      <c r="H1" s="8" t="s">
        <v>1720</v>
      </c>
    </row>
    <row r="2" spans="1:9">
      <c r="A2" s="2">
        <v>1</v>
      </c>
      <c r="B2" s="9" t="s">
        <v>1612</v>
      </c>
      <c r="C2" s="9" t="s">
        <v>1613</v>
      </c>
      <c r="D2" s="9" t="s">
        <v>1682</v>
      </c>
      <c r="E2" s="9" t="s">
        <v>1610</v>
      </c>
      <c r="F2" s="9">
        <v>941778098</v>
      </c>
      <c r="G2" s="12" t="s">
        <v>1614</v>
      </c>
      <c r="H2" s="9" t="s">
        <v>1733</v>
      </c>
      <c r="I2" t="str">
        <f>"('"&amp;B2&amp;"','"&amp;C2&amp;"','"&amp;D2&amp;"','"&amp;E2&amp;"','"&amp;F2&amp;"','"&amp;G2&amp;"','"&amp;H2&amp;"'),"</f>
        <v>('HUATTA HUATTA FRANCISCO FABIO','AAHH Señor de los Milagros Mz p1 L 16, Quinta etapa','PUEBLO NUEVO','Zona:  SrMilagros','941778098','01248667','F2'),</v>
      </c>
    </row>
    <row r="3" spans="1:9">
      <c r="A3" s="2">
        <v>2</v>
      </c>
      <c r="B3" s="9" t="s">
        <v>419</v>
      </c>
      <c r="C3" s="9" t="s">
        <v>420</v>
      </c>
      <c r="D3" s="9" t="s">
        <v>1680</v>
      </c>
      <c r="E3" s="9" t="s">
        <v>19</v>
      </c>
      <c r="F3" s="9">
        <v>917638838</v>
      </c>
      <c r="G3" s="12" t="s">
        <v>421</v>
      </c>
      <c r="H3" s="9" t="s">
        <v>1722</v>
      </c>
      <c r="I3" t="str">
        <f t="shared" ref="I3:I66" si="0">"('"&amp;B3&amp;"','"&amp;C3&amp;"','"&amp;D3&amp;"','"&amp;E3&amp;"','"&amp;F3&amp;"','"&amp;G3&amp;"','"&amp;H3&amp;"'),"</f>
        <v>('FLOR DEL VALLE RODRIGUEZ GARELLI','Av. alva maurtua lt 05 Cruz Blanca','CHINCHA ALTA','ZONA: CRUZ BLANCA PARTE ALTA oruro','917638838','004039538','F1'),</v>
      </c>
    </row>
    <row r="4" spans="1:9">
      <c r="A4" s="2">
        <v>3</v>
      </c>
      <c r="B4" s="9" t="s">
        <v>548</v>
      </c>
      <c r="C4" s="9" t="s">
        <v>549</v>
      </c>
      <c r="D4" s="9" t="s">
        <v>1679</v>
      </c>
      <c r="E4" s="9" t="s">
        <v>71</v>
      </c>
      <c r="F4" s="9">
        <v>902253434</v>
      </c>
      <c r="G4" s="12" t="s">
        <v>550</v>
      </c>
      <c r="H4" s="9" t="s">
        <v>1722</v>
      </c>
      <c r="I4" t="str">
        <f t="shared" si="0"/>
        <v>('TIMAURE CAMACHO CAROLINA COROMOTO','CL. Santa Teresa 355 Entrada a Sant aFe- Sunampe','SUNAMPE','ZONA: SUNAMPE – SANTA FE','902253434','004377762','F1'),</v>
      </c>
    </row>
    <row r="5" spans="1:9">
      <c r="A5" s="2">
        <v>4</v>
      </c>
      <c r="B5" s="9" t="s">
        <v>194</v>
      </c>
      <c r="C5" s="9" t="s">
        <v>195</v>
      </c>
      <c r="D5" s="9" t="s">
        <v>1679</v>
      </c>
      <c r="E5" s="9" t="s">
        <v>22</v>
      </c>
      <c r="F5" s="9">
        <v>989058641</v>
      </c>
      <c r="G5" s="12" t="s">
        <v>196</v>
      </c>
      <c r="H5" s="9" t="s">
        <v>1722</v>
      </c>
      <c r="I5" t="str">
        <f t="shared" si="0"/>
        <v>('YATACO VIDAL JAIME JUAN','Calle Parada de los amigos 409 - Sunampe','SUNAMPE','ZONA: SUNAMPE – SAN PILPA','989058641','06093318','F1'),</v>
      </c>
    </row>
    <row r="6" spans="1:9">
      <c r="A6" s="2">
        <v>6</v>
      </c>
      <c r="B6" s="9" t="s">
        <v>411</v>
      </c>
      <c r="C6" s="9" t="s">
        <v>412</v>
      </c>
      <c r="D6" s="9" t="s">
        <v>1680</v>
      </c>
      <c r="E6" s="9" t="s">
        <v>99</v>
      </c>
      <c r="F6" s="9">
        <v>902102201</v>
      </c>
      <c r="G6" s="12" t="s">
        <v>413</v>
      </c>
      <c r="H6" s="9" t="s">
        <v>1722</v>
      </c>
      <c r="I6" t="str">
        <f t="shared" si="0"/>
        <v>('JANAMPA GOMEZ MAXIMO','Condorillo alto MZ I LT 01','CHINCHA ALTA','ZONA: CRUZ BLANCA CAMPO','902102201','06567453','F1'),</v>
      </c>
    </row>
    <row r="7" spans="1:9">
      <c r="A7" s="2">
        <v>7</v>
      </c>
      <c r="B7" s="9" t="s">
        <v>133</v>
      </c>
      <c r="C7" s="9" t="s">
        <v>134</v>
      </c>
      <c r="D7" s="9" t="s">
        <v>1679</v>
      </c>
      <c r="E7" s="9" t="s">
        <v>135</v>
      </c>
      <c r="F7" s="9">
        <v>977265651</v>
      </c>
      <c r="G7" s="12" t="s">
        <v>136</v>
      </c>
      <c r="H7" s="9" t="s">
        <v>1722</v>
      </c>
      <c r="I7" t="str">
        <f t="shared" si="0"/>
        <v>('DE LA CRUZ QUISPE LILIANA','Calle las Nazarenas, S/n Huaca Grande- Sunampe','SUNAMPE','ZONA: SUNAMPE – HUACA GRANDE','977265651','06799544','F1'),</v>
      </c>
    </row>
    <row r="8" spans="1:9">
      <c r="A8" s="2">
        <v>8</v>
      </c>
      <c r="B8" s="9" t="s">
        <v>774</v>
      </c>
      <c r="C8" s="9" t="s">
        <v>775</v>
      </c>
      <c r="D8" s="9" t="s">
        <v>1680</v>
      </c>
      <c r="E8" s="9" t="s">
        <v>765</v>
      </c>
      <c r="F8" s="9" t="s">
        <v>776</v>
      </c>
      <c r="G8" s="12" t="s">
        <v>777</v>
      </c>
      <c r="H8" s="9" t="s">
        <v>1733</v>
      </c>
      <c r="I8" t="str">
        <f t="shared" si="0"/>
        <v>('LEVANO DE LA CRUZ FRANCISCA ESTHER','AV. SANTA RITA N°204 (AMERICA) - CHINCHA ALTA','CHINCHA ALTA','ZONA: CHINCHA - PROGRESO','956 505 830','07597465','F2'),</v>
      </c>
    </row>
    <row r="9" spans="1:9">
      <c r="A9" s="2">
        <v>9</v>
      </c>
      <c r="B9" s="9" t="s">
        <v>1161</v>
      </c>
      <c r="C9" s="9" t="s">
        <v>1162</v>
      </c>
      <c r="D9" s="9" t="s">
        <v>1679</v>
      </c>
      <c r="E9" s="9" t="s">
        <v>22</v>
      </c>
      <c r="F9" s="9" t="s">
        <v>1163</v>
      </c>
      <c r="G9" s="12" t="s">
        <v>1164</v>
      </c>
      <c r="H9" s="9" t="s">
        <v>1722</v>
      </c>
      <c r="I9" t="str">
        <f t="shared" si="0"/>
        <v>('CONOCC HUAMAN MANUEL MARINO','PSJ. LA PALMA, FUNDO EL NISPERO LT. 05 - SUNAMPE','SUNAMPE','ZONA: SUNAMPE – SAN PILPA','945 301 046','08347575','F1'),</v>
      </c>
    </row>
    <row r="10" spans="1:9">
      <c r="A10" s="2">
        <v>10</v>
      </c>
      <c r="B10" s="9" t="s">
        <v>398</v>
      </c>
      <c r="C10" s="9" t="s">
        <v>399</v>
      </c>
      <c r="D10" s="9" t="s">
        <v>1680</v>
      </c>
      <c r="E10" s="9" t="s">
        <v>126</v>
      </c>
      <c r="F10" s="9">
        <v>997588370</v>
      </c>
      <c r="G10" s="12" t="s">
        <v>400</v>
      </c>
      <c r="H10" s="9" t="s">
        <v>1722</v>
      </c>
      <c r="I10" t="str">
        <f t="shared" si="0"/>
        <v>('VIOLETA GUTIERREZ GUILLERMO FELICIANO','Av. pachacutec 2645 Cruz Blanca','CHINCHA ALTA','ZONA: CRUZ BLANCA VIRGEN CARMEN','997588370','08998598','F1'),</v>
      </c>
    </row>
    <row r="11" spans="1:9">
      <c r="A11" s="2">
        <v>11</v>
      </c>
      <c r="B11" s="9" t="s">
        <v>545</v>
      </c>
      <c r="C11" s="9" t="s">
        <v>546</v>
      </c>
      <c r="D11" s="9" t="s">
        <v>1679</v>
      </c>
      <c r="E11" s="9" t="s">
        <v>22</v>
      </c>
      <c r="F11" s="9">
        <v>941310699</v>
      </c>
      <c r="G11" s="12" t="s">
        <v>547</v>
      </c>
      <c r="H11" s="9" t="s">
        <v>1722</v>
      </c>
      <c r="I11" t="str">
        <f t="shared" si="0"/>
        <v>('PRIETO LOYOLA REYNALDO','San Juan con San pedro de pilpa - Sunampe','SUNAMPE','ZONA: SUNAMPE – SAN PILPA','941310699','09267192','F1'),</v>
      </c>
    </row>
    <row r="12" spans="1:9">
      <c r="A12" s="2">
        <v>12</v>
      </c>
      <c r="B12" s="9" t="s">
        <v>1608</v>
      </c>
      <c r="C12" s="9" t="s">
        <v>1609</v>
      </c>
      <c r="D12" s="9" t="s">
        <v>1682</v>
      </c>
      <c r="E12" s="9" t="s">
        <v>1610</v>
      </c>
      <c r="F12" s="9">
        <v>995719091</v>
      </c>
      <c r="G12" s="12" t="s">
        <v>1611</v>
      </c>
      <c r="H12" s="9" t="s">
        <v>1722</v>
      </c>
      <c r="I12" t="str">
        <f t="shared" si="0"/>
        <v>('ARANGO ESCOBAR TEOFILO GENARO','Satelite primaveral, quinta etapa ref: conocido como Hugo Chavez','PUEBLO NUEVO','Zona:  SrMilagros','995719091','09436528','F1'),</v>
      </c>
    </row>
    <row r="13" spans="1:9">
      <c r="A13" s="2">
        <v>14</v>
      </c>
      <c r="B13" s="9" t="s">
        <v>1019</v>
      </c>
      <c r="C13" s="9" t="s">
        <v>1020</v>
      </c>
      <c r="D13" s="9" t="s">
        <v>1679</v>
      </c>
      <c r="E13" s="9" t="s">
        <v>22</v>
      </c>
      <c r="F13" s="9">
        <v>993656810</v>
      </c>
      <c r="G13" s="12" t="s">
        <v>1021</v>
      </c>
      <c r="H13" s="9" t="s">
        <v>1722</v>
      </c>
      <c r="I13" t="str">
        <f t="shared" si="0"/>
        <v>('BENITES BOCANEGRA FRANCISCO HERMAN','PSJ. SAN JUAN LT. 94A - ALFONSO UGARTE - SUNAMPE','SUNAMPE','ZONA: SUNAMPE – SAN PILPA','993656810','09736546','F1'),</v>
      </c>
    </row>
    <row r="14" spans="1:9">
      <c r="A14" s="2">
        <v>15</v>
      </c>
      <c r="B14" s="9" t="s">
        <v>1699</v>
      </c>
      <c r="C14" s="9" t="s">
        <v>1706</v>
      </c>
      <c r="D14" s="9" t="s">
        <v>1679</v>
      </c>
      <c r="E14" s="9" t="s">
        <v>1642</v>
      </c>
      <c r="F14" s="9">
        <v>960106705</v>
      </c>
      <c r="G14" s="12" t="s">
        <v>1526</v>
      </c>
      <c r="H14" s="9" t="s">
        <v>1722</v>
      </c>
      <c r="I14" t="str">
        <f t="shared" si="0"/>
        <v>('RAMOS RIOS MOISES MATEO','Pazo de gomez santa rosa , segunda entrada','SUNAMPE','Zona: Sunampe','960106705','09756783','F1'),</v>
      </c>
    </row>
    <row r="15" spans="1:9">
      <c r="A15" s="2">
        <v>16</v>
      </c>
      <c r="B15" s="9" t="s">
        <v>891</v>
      </c>
      <c r="C15" s="9" t="s">
        <v>892</v>
      </c>
      <c r="D15" s="9" t="s">
        <v>1679</v>
      </c>
      <c r="E15" s="9" t="s">
        <v>22</v>
      </c>
      <c r="F15" s="9">
        <v>981295133</v>
      </c>
      <c r="G15" s="12">
        <v>15359111</v>
      </c>
      <c r="H15" s="9" t="s">
        <v>1722</v>
      </c>
      <c r="I15" t="str">
        <f t="shared" si="0"/>
        <v>('ROMERO GARRIAZO JOSE ALBERTO','PSJ. SARAVIA S/N - CERCADO DE GROCIO PRADO','SUNAMPE','ZONA: SUNAMPE – SAN PILPA','981295133','15359111','F1'),</v>
      </c>
    </row>
    <row r="16" spans="1:9">
      <c r="A16" s="2">
        <v>17</v>
      </c>
      <c r="B16" s="9" t="s">
        <v>826</v>
      </c>
      <c r="C16" s="9" t="s">
        <v>827</v>
      </c>
      <c r="D16" s="9" t="s">
        <v>1679</v>
      </c>
      <c r="E16" s="9" t="s">
        <v>22</v>
      </c>
      <c r="F16" s="9" t="s">
        <v>828</v>
      </c>
      <c r="G16" s="12">
        <v>15359608</v>
      </c>
      <c r="H16" s="9" t="s">
        <v>1722</v>
      </c>
      <c r="I16" t="str">
        <f t="shared" si="0"/>
        <v>('PALLIN HUARCAYA CARLOS AURELIO','PSJ. VILLA S/N, CALLE SAN VICENTE DE FERRER - SUNAMPE','SUNAMPE','ZONA: SUNAMPE – SAN PILPA','918 102 342','15359608','F1'),</v>
      </c>
    </row>
    <row r="17" spans="1:9">
      <c r="A17" s="2">
        <v>18</v>
      </c>
      <c r="B17" s="9" t="s">
        <v>1137</v>
      </c>
      <c r="C17" s="9" t="s">
        <v>1138</v>
      </c>
      <c r="D17" s="9" t="s">
        <v>1682</v>
      </c>
      <c r="E17" s="9" t="s">
        <v>1106</v>
      </c>
      <c r="F17" s="9" t="s">
        <v>1139</v>
      </c>
      <c r="G17" s="12">
        <v>15439628</v>
      </c>
      <c r="H17" s="9" t="s">
        <v>1722</v>
      </c>
      <c r="I17" t="str">
        <f t="shared" si="0"/>
        <v>('CAMPOS BARRIOS JUANA MILAGROS','UPIS SAN ANDRES MZ. F - LT. 19 - PUEBLO NUEVO - CHINCHA','PUEBLO NUEVO','ZONA: PUEBLO - TECHO PROPIO','956 517 578','15439628','F1'),</v>
      </c>
    </row>
    <row r="18" spans="1:9">
      <c r="A18" s="2">
        <v>20</v>
      </c>
      <c r="B18" s="9" t="s">
        <v>352</v>
      </c>
      <c r="C18" s="9" t="s">
        <v>353</v>
      </c>
      <c r="D18" s="9" t="s">
        <v>1680</v>
      </c>
      <c r="E18" s="9" t="s">
        <v>126</v>
      </c>
      <c r="F18" s="9" t="s">
        <v>354</v>
      </c>
      <c r="G18" s="12">
        <v>21519428</v>
      </c>
      <c r="H18" s="9" t="s">
        <v>1722</v>
      </c>
      <c r="I18" t="str">
        <f t="shared" si="0"/>
        <v>('MANUEL YSMAEL YARASCA PURAY','AA.HH. VIRGEN DEL CARMEN MZ A LT 10 - CRUZ BLANCA','CHINCHA ALTA','ZONA: CRUZ BLANCA VIRGEN CARMEN','950 347 145','21519428','F1'),</v>
      </c>
    </row>
    <row r="19" spans="1:9">
      <c r="A19" s="2">
        <v>21</v>
      </c>
      <c r="B19" s="9" t="s">
        <v>485</v>
      </c>
      <c r="C19" s="9" t="s">
        <v>486</v>
      </c>
      <c r="D19" s="9" t="s">
        <v>1680</v>
      </c>
      <c r="E19" s="9" t="s">
        <v>90</v>
      </c>
      <c r="F19" s="9" t="s">
        <v>487</v>
      </c>
      <c r="G19" s="12">
        <v>21577420</v>
      </c>
      <c r="H19" s="9" t="s">
        <v>1733</v>
      </c>
      <c r="I19" t="str">
        <f t="shared" si="0"/>
        <v>('RAMOS AQUIJE EDDY GILMORE','C.P. CONDORILLO ALTO MZ. N LT. 02 - CHINCHA','CHINCHA ALTA','ZONA: CONDORILLO PARTE ALTA','936 932 786','21577420','F2'),</v>
      </c>
    </row>
    <row r="20" spans="1:9">
      <c r="A20" s="2">
        <v>22</v>
      </c>
      <c r="B20" s="9" t="s">
        <v>1172</v>
      </c>
      <c r="C20" s="9" t="s">
        <v>1173</v>
      </c>
      <c r="D20" s="9" t="s">
        <v>1680</v>
      </c>
      <c r="E20" s="9" t="s">
        <v>126</v>
      </c>
      <c r="F20" s="9">
        <v>944420613</v>
      </c>
      <c r="G20" s="12">
        <v>21781164</v>
      </c>
      <c r="H20" s="9" t="s">
        <v>1722</v>
      </c>
      <c r="I20" t="str">
        <f t="shared" si="0"/>
        <v>('YATACO GARCIA MOISES','CL. SAN LUIS Nª 139 - CERCADO DE CHINCHA ALTA','CHINCHA ALTA','ZONA: CRUZ BLANCA VIRGEN CARMEN','944420613','21781164','F1'),</v>
      </c>
    </row>
    <row r="21" spans="1:9">
      <c r="A21" s="2">
        <v>23</v>
      </c>
      <c r="B21" s="9" t="s">
        <v>15</v>
      </c>
      <c r="C21" s="9" t="s">
        <v>16</v>
      </c>
      <c r="D21" s="9" t="s">
        <v>1681</v>
      </c>
      <c r="E21" s="9" t="s">
        <v>11</v>
      </c>
      <c r="F21" s="9">
        <v>956698366</v>
      </c>
      <c r="G21" s="12">
        <v>21782120</v>
      </c>
      <c r="H21" s="9" t="s">
        <v>1722</v>
      </c>
      <c r="I21" t="str">
        <f t="shared" si="0"/>
        <v>('RIQUELME APOLAYA VDA DE PEREZ GREGORIA ELISA','Av. Melchorita Nº 604 - Grocio Prado','GROCIO PRADO','ZONA: GROCIO - MEJILLONEROS','956698366','21782120','F1'),</v>
      </c>
    </row>
    <row r="22" spans="1:9">
      <c r="A22" s="2">
        <v>24</v>
      </c>
      <c r="B22" s="9" t="s">
        <v>382</v>
      </c>
      <c r="C22" s="9" t="s">
        <v>383</v>
      </c>
      <c r="D22" s="9" t="s">
        <v>1680</v>
      </c>
      <c r="E22" s="9" t="s">
        <v>99</v>
      </c>
      <c r="F22" s="9">
        <v>936301541</v>
      </c>
      <c r="G22" s="12">
        <v>21782325</v>
      </c>
      <c r="H22" s="9" t="s">
        <v>1722</v>
      </c>
      <c r="I22" t="str">
        <f t="shared" si="0"/>
        <v>('HERRERA TALLA EDNA CLEMENCIA','AV. UNION SANTA ROSA N110-34 - CRUZ BLANCA','CHINCHA ALTA','ZONA: CRUZ BLANCA CAMPO','936301541','21782325','F1'),</v>
      </c>
    </row>
    <row r="23" spans="1:9">
      <c r="A23" s="2">
        <v>25</v>
      </c>
      <c r="B23" s="9" t="s">
        <v>332</v>
      </c>
      <c r="C23" s="9" t="s">
        <v>333</v>
      </c>
      <c r="D23" s="9" t="s">
        <v>1680</v>
      </c>
      <c r="E23" s="9" t="s">
        <v>334</v>
      </c>
      <c r="F23" s="9">
        <v>936457904</v>
      </c>
      <c r="G23" s="12">
        <v>21783726</v>
      </c>
      <c r="H23" s="9" t="s">
        <v>1722</v>
      </c>
      <c r="I23" t="str">
        <f t="shared" si="0"/>
        <v>('REYES APONTE LUIS MANUEL','CONDORILLO ALTO PRIMERA ENTRADA','CHINCHA ALTA','ZONA: CONDORILLO PARTE BAJA','936457904','21783726','F1'),</v>
      </c>
    </row>
    <row r="24" spans="1:9">
      <c r="A24" s="2">
        <v>26</v>
      </c>
      <c r="B24" s="9" t="s">
        <v>645</v>
      </c>
      <c r="C24" s="9" t="s">
        <v>646</v>
      </c>
      <c r="D24" s="9" t="s">
        <v>1680</v>
      </c>
      <c r="E24" s="9" t="s">
        <v>19</v>
      </c>
      <c r="F24" s="9" t="s">
        <v>647</v>
      </c>
      <c r="G24" s="12">
        <v>21784064</v>
      </c>
      <c r="H24" s="9" t="s">
        <v>1722</v>
      </c>
      <c r="I24" t="str">
        <f t="shared" si="0"/>
        <v>('CARBAJAL TASAYCO ALBERTO','ENTRADA CONDORILLO PSJ GONZALES PRADA 205','CHINCHA ALTA','ZONA: CRUZ BLANCA PARTE ALTA oruro','930 647 571','21784064','F1'),</v>
      </c>
    </row>
    <row r="25" spans="1:9">
      <c r="A25" s="2">
        <v>27</v>
      </c>
      <c r="B25" s="9" t="s">
        <v>630</v>
      </c>
      <c r="C25" s="9" t="s">
        <v>631</v>
      </c>
      <c r="D25" s="9" t="s">
        <v>1679</v>
      </c>
      <c r="E25" s="9" t="s">
        <v>8</v>
      </c>
      <c r="F25" s="9">
        <v>942811373</v>
      </c>
      <c r="G25" s="12">
        <v>21785115</v>
      </c>
      <c r="H25" s="9" t="s">
        <v>1722</v>
      </c>
      <c r="I25" t="str">
        <f t="shared" si="0"/>
        <v>('MAGALLANES ROSSI PAULO FELIX','AV. FATIMA S/N - SUNAMPE','SUNAMPE','ZONA: SUNAMPE – COLEGIO','942811373','21785115','F1'),</v>
      </c>
    </row>
    <row r="26" spans="1:9">
      <c r="A26" s="2">
        <v>28</v>
      </c>
      <c r="B26" s="9" t="s">
        <v>1188</v>
      </c>
      <c r="C26" s="9" t="s">
        <v>1189</v>
      </c>
      <c r="D26" s="9" t="s">
        <v>1680</v>
      </c>
      <c r="E26" s="9" t="s">
        <v>19</v>
      </c>
      <c r="F26" s="9" t="s">
        <v>1190</v>
      </c>
      <c r="G26" s="12">
        <v>21785244</v>
      </c>
      <c r="H26" s="9" t="s">
        <v>1722</v>
      </c>
      <c r="I26" t="str">
        <f t="shared" si="0"/>
        <v>('DE LA CRUZ MENDOZA ROSA ELVIRA','PSJ. 02 DE MAYO Nª 325 - CRUZ BLANCA - CHINCHA ALTA','CHINCHA ALTA','ZONA: CRUZ BLANCA PARTE ALTA oruro','968 416 588','21785244','F1'),</v>
      </c>
    </row>
    <row r="27" spans="1:9">
      <c r="A27" s="2">
        <v>29</v>
      </c>
      <c r="B27" s="9" t="s">
        <v>740</v>
      </c>
      <c r="C27" s="9" t="s">
        <v>741</v>
      </c>
      <c r="D27" s="9" t="s">
        <v>1679</v>
      </c>
      <c r="E27" s="9" t="s">
        <v>22</v>
      </c>
      <c r="F27" s="9">
        <v>958608401</v>
      </c>
      <c r="G27" s="12">
        <v>21786233</v>
      </c>
      <c r="H27" s="9" t="s">
        <v>1733</v>
      </c>
      <c r="I27" t="str">
        <f t="shared" si="0"/>
        <v>('ATUNCAR TASAYCO GILDA ESTHER','SAN PEDRO DE PILPA N514 - SUNAMPE','SUNAMPE','ZONA: SUNAMPE – SAN PILPA','958608401','21786233','F2'),</v>
      </c>
    </row>
    <row r="28" spans="1:9">
      <c r="A28" s="2">
        <v>30</v>
      </c>
      <c r="B28" s="9" t="s">
        <v>341</v>
      </c>
      <c r="C28" s="9" t="s">
        <v>342</v>
      </c>
      <c r="D28" s="9" t="s">
        <v>1680</v>
      </c>
      <c r="E28" s="9" t="s">
        <v>126</v>
      </c>
      <c r="F28" s="9" t="s">
        <v>343</v>
      </c>
      <c r="G28" s="12">
        <v>21788723</v>
      </c>
      <c r="H28" s="9" t="s">
        <v>1722</v>
      </c>
      <c r="I28" t="str">
        <f t="shared" si="0"/>
        <v>('PACHAS MARTINEZ JUANA','Virgen del carmen Mz. I lt. 1','CHINCHA ALTA','ZONA: CRUZ BLANCA VIRGEN CARMEN','991 488 690','21788723','F1'),</v>
      </c>
    </row>
    <row r="29" spans="1:9">
      <c r="A29" s="2">
        <v>31</v>
      </c>
      <c r="B29" s="9" t="s">
        <v>220</v>
      </c>
      <c r="C29" s="9" t="s">
        <v>221</v>
      </c>
      <c r="D29" s="9" t="s">
        <v>1680</v>
      </c>
      <c r="E29" s="9" t="s">
        <v>27</v>
      </c>
      <c r="F29" s="9">
        <v>936707747</v>
      </c>
      <c r="G29" s="12">
        <v>21790332</v>
      </c>
      <c r="H29" s="9" t="s">
        <v>1722</v>
      </c>
      <c r="I29" t="str">
        <f t="shared" si="0"/>
        <v>('GARCIA DE GARCIA GLADYS','CRUZ BLANCA VIRGEN DEL CARMEN AV TOMA DE CALA','CHINCHA ALTA','ZONA: CRUZ BLANCA PARTE BAJA','936707747','21790332','F1'),</v>
      </c>
    </row>
    <row r="30" spans="1:9">
      <c r="A30" s="2">
        <v>32</v>
      </c>
      <c r="B30" s="9" t="s">
        <v>1373</v>
      </c>
      <c r="C30" s="9" t="s">
        <v>1374</v>
      </c>
      <c r="D30" s="9" t="s">
        <v>1680</v>
      </c>
      <c r="E30" s="9" t="s">
        <v>710</v>
      </c>
      <c r="F30" s="9">
        <v>984399198</v>
      </c>
      <c r="G30" s="12">
        <v>21792478</v>
      </c>
      <c r="H30" s="9" t="s">
        <v>1722</v>
      </c>
      <c r="I30" t="str">
        <f t="shared" si="0"/>
        <v>('ELENA EVA LORENZA DURAN BLANCO','CL COLON NRO. PUERTA 279 02 - CERCADO DE CHINCHA ALTA - CHINCHA ALTA','CHINCHA ALTA','ZONA: CHINCHA - AMERICA','984399198','21792478','F1'),</v>
      </c>
    </row>
    <row r="31" spans="1:9">
      <c r="A31" s="2">
        <v>33</v>
      </c>
      <c r="B31" s="9" t="s">
        <v>1089</v>
      </c>
      <c r="C31" s="9" t="s">
        <v>1090</v>
      </c>
      <c r="D31" s="9" t="s">
        <v>1680</v>
      </c>
      <c r="E31" s="9" t="s">
        <v>27</v>
      </c>
      <c r="F31" s="9">
        <v>912074015</v>
      </c>
      <c r="G31" s="12">
        <v>21794090</v>
      </c>
      <c r="H31" s="9" t="s">
        <v>1722</v>
      </c>
      <c r="I31" t="str">
        <f t="shared" si="0"/>
        <v>('MAGALLANES ORTIZ VICTOR LUIS','CL. EL CARMEN Nª 196, CRUZ BLANCA - CHINCHA ALTA','CHINCHA ALTA','ZONA: CRUZ BLANCA PARTE BAJA','912074015','21794090','F1'),</v>
      </c>
    </row>
    <row r="32" spans="1:9">
      <c r="A32" s="2">
        <v>34</v>
      </c>
      <c r="B32" s="9" t="s">
        <v>1295</v>
      </c>
      <c r="C32" s="9" t="s">
        <v>1296</v>
      </c>
      <c r="D32" s="9" t="s">
        <v>1680</v>
      </c>
      <c r="E32" s="9" t="s">
        <v>765</v>
      </c>
      <c r="F32" s="9">
        <v>924422788</v>
      </c>
      <c r="G32" s="12">
        <v>21794408</v>
      </c>
      <c r="H32" s="9" t="s">
        <v>1722</v>
      </c>
      <c r="I32" t="str">
        <f t="shared" si="0"/>
        <v>('PEREZ HERNANDEZ JORGE ISIDORO','AV. AMERICA N° 533 - INT. 03 - PROGRESO - CHINCHA ALTA','CHINCHA ALTA','ZONA: CHINCHA - PROGRESO','924422788','21794408','F1'),</v>
      </c>
    </row>
    <row r="33" spans="1:9">
      <c r="A33" s="2">
        <v>35</v>
      </c>
      <c r="B33" s="9" t="s">
        <v>1073</v>
      </c>
      <c r="C33" s="9" t="s">
        <v>1074</v>
      </c>
      <c r="D33" s="9" t="s">
        <v>1679</v>
      </c>
      <c r="E33" s="9" t="s">
        <v>106</v>
      </c>
      <c r="F33" s="9">
        <v>904830949</v>
      </c>
      <c r="G33" s="12">
        <v>21794453</v>
      </c>
      <c r="H33" s="9" t="s">
        <v>1722</v>
      </c>
      <c r="I33" t="str">
        <f t="shared" si="0"/>
        <v>('MELO GUERRA ANSELMO','PSJ. SAN MARTIN Nª 474, C.P. MINA DE ORO - SUNAMPE','SUNAMPE','ZONA: SUNAMPE - MINA DE ORO','904830949','21794453','F1'),</v>
      </c>
    </row>
    <row r="34" spans="1:9">
      <c r="A34" s="2">
        <v>36</v>
      </c>
      <c r="B34" s="9" t="s">
        <v>63</v>
      </c>
      <c r="C34" s="9" t="s">
        <v>64</v>
      </c>
      <c r="D34" s="9" t="s">
        <v>1680</v>
      </c>
      <c r="E34" s="9" t="s">
        <v>27</v>
      </c>
      <c r="F34" s="9">
        <v>925064547</v>
      </c>
      <c r="G34" s="12">
        <v>21797192</v>
      </c>
      <c r="H34" s="9" t="s">
        <v>1722</v>
      </c>
      <c r="I34" t="str">
        <f t="shared" si="0"/>
        <v>('DIAZ MAGALLANES SANTOS MANUEL','CRUZ BLANCA VIRGEN DEL CARMEN','CHINCHA ALTA','ZONA: CRUZ BLANCA PARTE BAJA','925064547','21797192','F1'),</v>
      </c>
    </row>
    <row r="35" spans="1:9">
      <c r="A35" s="2">
        <v>37</v>
      </c>
      <c r="B35" s="9" t="s">
        <v>378</v>
      </c>
      <c r="C35" s="9" t="s">
        <v>379</v>
      </c>
      <c r="D35" s="9" t="s">
        <v>1679</v>
      </c>
      <c r="E35" s="9" t="s">
        <v>14</v>
      </c>
      <c r="F35" s="9">
        <v>932233737</v>
      </c>
      <c r="G35" s="12">
        <v>21799902</v>
      </c>
      <c r="H35" s="9" t="s">
        <v>1722</v>
      </c>
      <c r="I35" t="str">
        <f t="shared" si="0"/>
        <v>('CESPEDES CANELO GLADYS DORA','PSJ. SAN ANTONIO MZ J LT12, ALT. VILLA JULIA - SUNAMPE','SUNAMPE','ZONA: SUNAMPE – VILLA JULIA','932233737','21799902','F1'),</v>
      </c>
    </row>
    <row r="36" spans="1:9">
      <c r="A36" s="2">
        <v>38</v>
      </c>
      <c r="B36" s="9" t="s">
        <v>622</v>
      </c>
      <c r="C36" s="9" t="s">
        <v>623</v>
      </c>
      <c r="D36" s="9" t="s">
        <v>1679</v>
      </c>
      <c r="E36" s="9" t="s">
        <v>135</v>
      </c>
      <c r="F36" s="9">
        <v>955939014</v>
      </c>
      <c r="G36" s="12">
        <v>21807490</v>
      </c>
      <c r="H36" s="9" t="s">
        <v>1722</v>
      </c>
      <c r="I36" t="str">
        <f t="shared" si="0"/>
        <v>('VILLAVICENCIO GONZALES ORLANDO LUIS','Urb Las Palmeras Mz. D, lote 14, Huaca Grande, Sunampe.','SUNAMPE','ZONA: SUNAMPE – HUACA GRANDE','955939014','21807490','F1'),</v>
      </c>
    </row>
    <row r="37" spans="1:9">
      <c r="A37" s="2">
        <v>39</v>
      </c>
      <c r="B37" s="9" t="s">
        <v>750</v>
      </c>
      <c r="C37" s="9" t="s">
        <v>751</v>
      </c>
      <c r="D37" s="9" t="s">
        <v>1679</v>
      </c>
      <c r="E37" s="9" t="s">
        <v>135</v>
      </c>
      <c r="F37" s="9">
        <v>955939014</v>
      </c>
      <c r="G37" s="12">
        <v>21807491</v>
      </c>
      <c r="H37" s="9" t="s">
        <v>1722</v>
      </c>
      <c r="I37" t="str">
        <f t="shared" si="0"/>
        <v>('SALVADOR DE VILLAVICENCIO ANA GLADYS','CONDOMINIO LAS PALMERAS B-29 - C.P. HUACA GRANDE - SUNAMPE','SUNAMPE','ZONA: SUNAMPE – HUACA GRANDE','955939014','21807491','F1'),</v>
      </c>
    </row>
    <row r="38" spans="1:9">
      <c r="A38" s="2">
        <v>40</v>
      </c>
      <c r="B38" s="9" t="s">
        <v>1234</v>
      </c>
      <c r="C38" s="9" t="s">
        <v>1235</v>
      </c>
      <c r="D38" s="9" t="s">
        <v>1679</v>
      </c>
      <c r="E38" s="9" t="s">
        <v>106</v>
      </c>
      <c r="F38" s="9">
        <v>956562524</v>
      </c>
      <c r="G38" s="12">
        <v>21807868</v>
      </c>
      <c r="H38" s="9" t="s">
        <v>1722</v>
      </c>
      <c r="I38" t="str">
        <f t="shared" si="0"/>
        <v>('IBARRA SALAZAR CIRO WILLMAN','URB. JULIO ARBOLEDA MZ. B - LT. 04 - CHINCHA ALTA','SUNAMPE','ZONA: SUNAMPE - MINA DE ORO','956562524','21807868','F1'),</v>
      </c>
    </row>
    <row r="39" spans="1:9">
      <c r="A39" s="2">
        <v>41</v>
      </c>
      <c r="B39" s="9" t="s">
        <v>273</v>
      </c>
      <c r="C39" s="9" t="s">
        <v>274</v>
      </c>
      <c r="D39" s="9" t="s">
        <v>1679</v>
      </c>
      <c r="E39" s="9" t="s">
        <v>2</v>
      </c>
      <c r="F39" s="9">
        <v>965696392</v>
      </c>
      <c r="G39" s="12">
        <v>21808481</v>
      </c>
      <c r="H39" s="9" t="s">
        <v>1722</v>
      </c>
      <c r="I39" t="str">
        <f t="shared" si="0"/>
        <v>('ATUNCAR DE LA CRUZ LUZ MARLENE','Sunampe, Av. Huascar (Casa de pandora 02)','SUNAMPE','ZONA: SUNAMPE – SAN IGNACIO','965696392','21808481','F1'),</v>
      </c>
    </row>
    <row r="40" spans="1:9">
      <c r="A40" s="2">
        <v>42</v>
      </c>
      <c r="B40" s="9" t="s">
        <v>907</v>
      </c>
      <c r="C40" s="9" t="s">
        <v>908</v>
      </c>
      <c r="D40" s="9" t="s">
        <v>1682</v>
      </c>
      <c r="E40" s="9" t="s">
        <v>846</v>
      </c>
      <c r="F40" s="9" t="s">
        <v>909</v>
      </c>
      <c r="G40" s="12">
        <v>21810864</v>
      </c>
      <c r="H40" s="9" t="s">
        <v>1722</v>
      </c>
      <c r="I40" t="str">
        <f t="shared" si="0"/>
        <v>('AGUILAR HERNANDEZ DE MUCHAYPIÑA MARIA ELIZABETH','URB. LEON DE VIVERO MZ. 04 LT. 07 - PUEBLO NUEVO','PUEBLO NUEVO','ZONA: PUEBLO - SALVADOR','956 791 396','21810864','F1'),</v>
      </c>
    </row>
    <row r="41" spans="1:9">
      <c r="A41" s="2">
        <v>43</v>
      </c>
      <c r="B41" s="9" t="s">
        <v>1174</v>
      </c>
      <c r="C41" s="9" t="s">
        <v>1175</v>
      </c>
      <c r="D41" s="9" t="s">
        <v>1679</v>
      </c>
      <c r="E41" s="9" t="s">
        <v>22</v>
      </c>
      <c r="F41" s="9">
        <v>933212718</v>
      </c>
      <c r="G41" s="12">
        <v>21811430</v>
      </c>
      <c r="H41" s="9" t="s">
        <v>1722</v>
      </c>
      <c r="I41" t="str">
        <f t="shared" si="0"/>
        <v>('CASTILLA VILCHEZ RICARDO ANTONIO','PSJE CASTILLA Nª 268 - C. P. SAN PEDRO DE PILPA - SUNAMPE','SUNAMPE','ZONA: SUNAMPE – SAN PILPA','933212718','21811430','F1'),</v>
      </c>
    </row>
    <row r="42" spans="1:9">
      <c r="A42" s="2">
        <v>44</v>
      </c>
      <c r="B42" s="9" t="s">
        <v>112</v>
      </c>
      <c r="C42" s="9" t="s">
        <v>113</v>
      </c>
      <c r="D42" s="9" t="s">
        <v>1680</v>
      </c>
      <c r="E42" s="9" t="s">
        <v>19</v>
      </c>
      <c r="F42" s="9">
        <v>984786637</v>
      </c>
      <c r="G42" s="12">
        <v>21811546</v>
      </c>
      <c r="H42" s="9" t="s">
        <v>1722</v>
      </c>
      <c r="I42" t="str">
        <f t="shared" si="0"/>
        <v>('DE LA CRUZ OLIVARES ROSA ALBINA','Av. Alva Maurtua Nº 300 - Cruz Blanca','CHINCHA ALTA','ZONA: CRUZ BLANCA PARTE ALTA oruro','984786637','21811546','F1'),</v>
      </c>
    </row>
    <row r="43" spans="1:9">
      <c r="A43" s="2">
        <v>45</v>
      </c>
      <c r="B43" s="9" t="s">
        <v>878</v>
      </c>
      <c r="C43" s="9" t="s">
        <v>879</v>
      </c>
      <c r="D43" s="9" t="s">
        <v>1680</v>
      </c>
      <c r="E43" s="9" t="s">
        <v>19</v>
      </c>
      <c r="F43" s="9">
        <v>967775894</v>
      </c>
      <c r="G43" s="12">
        <v>21811821</v>
      </c>
      <c r="H43" s="9" t="s">
        <v>1722</v>
      </c>
      <c r="I43" t="str">
        <f t="shared" si="0"/>
        <v>('SANCHEZ NAPA ROCIO PATRICIA','AV. ALVA MAURTUA MZ. O LT. 05, PSJ SOTELO - CRUZ BLANCA','CHINCHA ALTA','ZONA: CRUZ BLANCA PARTE ALTA oruro','967775894','21811821','F1'),</v>
      </c>
    </row>
    <row r="44" spans="1:9">
      <c r="A44" s="2">
        <v>46</v>
      </c>
      <c r="B44" s="9" t="s">
        <v>1366</v>
      </c>
      <c r="C44" s="9" t="s">
        <v>1367</v>
      </c>
      <c r="D44" s="9" t="s">
        <v>1682</v>
      </c>
      <c r="E44" s="9" t="s">
        <v>846</v>
      </c>
      <c r="F44" s="9">
        <v>943285509</v>
      </c>
      <c r="G44" s="12">
        <v>21812467</v>
      </c>
      <c r="H44" s="9" t="s">
        <v>1733</v>
      </c>
      <c r="I44" t="str">
        <f t="shared" si="0"/>
        <v>('ROSA MARIA CAVERO FERNANDEZ','URB. LEON DE VIVERO MZ. 7 LT. 13 - PUEBLO NUEVO','PUEBLO NUEVO','ZONA: PUEBLO - SALVADOR','943285509','21812467','F2'),</v>
      </c>
    </row>
    <row r="45" spans="1:9">
      <c r="A45" s="2">
        <v>48</v>
      </c>
      <c r="B45" s="9" t="s">
        <v>903</v>
      </c>
      <c r="C45" s="9" t="s">
        <v>904</v>
      </c>
      <c r="D45" s="9" t="s">
        <v>1682</v>
      </c>
      <c r="E45" s="9" t="s">
        <v>846</v>
      </c>
      <c r="F45" s="9">
        <v>936436485</v>
      </c>
      <c r="G45" s="12">
        <v>21813235</v>
      </c>
      <c r="H45" s="9" t="s">
        <v>1722</v>
      </c>
      <c r="I45" t="str">
        <f t="shared" si="0"/>
        <v>('DE LA CRUZ LUYO ALCIDES','AA.HH. EL SALVADOR MZ. F LT. 01 - PUEBLO NUEVO','PUEBLO NUEVO','ZONA: PUEBLO - SALVADOR','936436485','21813235','F1'),</v>
      </c>
    </row>
    <row r="46" spans="1:9">
      <c r="A46" s="2">
        <v>49</v>
      </c>
      <c r="B46" s="9" t="s">
        <v>1375</v>
      </c>
      <c r="C46" s="9" t="s">
        <v>1376</v>
      </c>
      <c r="D46" s="9" t="s">
        <v>1679</v>
      </c>
      <c r="E46" s="9" t="s">
        <v>22</v>
      </c>
      <c r="F46" s="9">
        <v>956835450</v>
      </c>
      <c r="G46" s="12">
        <v>21814474</v>
      </c>
      <c r="H46" s="9" t="s">
        <v>1722</v>
      </c>
      <c r="I46" t="str">
        <f t="shared" si="0"/>
        <v>('MILAGRITOS DE JESUS GILARDINO LUY DE REYNAGA','AV. SAN PEDRO DE PILPA NRO. 268 - SUNAMPE','SUNAMPE','ZONA: SUNAMPE – SAN PILPA','956835450','21814474','F1'),</v>
      </c>
    </row>
    <row r="47" spans="1:9">
      <c r="A47" s="2">
        <v>50</v>
      </c>
      <c r="B47" s="9" t="s">
        <v>1458</v>
      </c>
      <c r="C47" s="9" t="s">
        <v>1459</v>
      </c>
      <c r="D47" s="9" t="s">
        <v>1680</v>
      </c>
      <c r="E47" s="9" t="s">
        <v>27</v>
      </c>
      <c r="F47" s="9">
        <v>932437255</v>
      </c>
      <c r="G47" s="12">
        <v>21814478</v>
      </c>
      <c r="H47" s="9" t="s">
        <v>1722</v>
      </c>
      <c r="I47" t="str">
        <f t="shared" si="0"/>
        <v>('MARIA EMILIA DE LA CRUZ HUASASQUICHE','AVDA LUIS ALVA MAURTUA Nro. Tapa Medidor 01006900 Cercado Chincha Alta CHINCHA ALTA','CHINCHA ALTA','ZONA: CRUZ BLANCA PARTE BAJA','932437255','21814478','F1'),</v>
      </c>
    </row>
    <row r="48" spans="1:9">
      <c r="A48" s="2">
        <v>51</v>
      </c>
      <c r="B48" s="9" t="s">
        <v>721</v>
      </c>
      <c r="C48" s="9" t="s">
        <v>722</v>
      </c>
      <c r="D48" s="9" t="s">
        <v>1679</v>
      </c>
      <c r="E48" s="9" t="s">
        <v>718</v>
      </c>
      <c r="F48" s="9">
        <v>998322738</v>
      </c>
      <c r="G48" s="12">
        <v>21815052</v>
      </c>
      <c r="H48" s="9" t="s">
        <v>1733</v>
      </c>
      <c r="I48" t="str">
        <f t="shared" si="0"/>
        <v>('ROJAS MARCELO AQUILES','CL. JORGE CHAVEZ MZ C. - LT. 24 - BARRIO CHACARITA - SUNAMPE','SUNAMPE','ZONA: SUNAMPE – CHACARITA','998322738','21815052','F2'),</v>
      </c>
    </row>
    <row r="49" spans="1:9">
      <c r="A49" s="2">
        <v>52</v>
      </c>
      <c r="B49" s="9" t="s">
        <v>380</v>
      </c>
      <c r="C49" s="9" t="s">
        <v>381</v>
      </c>
      <c r="D49" s="9" t="s">
        <v>1680</v>
      </c>
      <c r="E49" s="9" t="s">
        <v>99</v>
      </c>
      <c r="F49" s="9">
        <v>923014014</v>
      </c>
      <c r="G49" s="12">
        <v>21815108</v>
      </c>
      <c r="H49" s="9" t="s">
        <v>1733</v>
      </c>
      <c r="I49" t="str">
        <f t="shared" si="0"/>
        <v>('HERRERA TALLA JOSE FREDY','AV. UNION SANTA ROSA N109, INT 33 - CRUZ BLANCA','CHINCHA ALTA','ZONA: CRUZ BLANCA CAMPO','923014014','21815108','F2'),</v>
      </c>
    </row>
    <row r="50" spans="1:9">
      <c r="A50" s="2">
        <v>53</v>
      </c>
      <c r="B50" s="9" t="s">
        <v>1307</v>
      </c>
      <c r="C50" s="9" t="s">
        <v>1308</v>
      </c>
      <c r="D50" s="9" t="s">
        <v>1682</v>
      </c>
      <c r="E50" s="9" t="s">
        <v>1106</v>
      </c>
      <c r="F50" s="9">
        <v>933513255</v>
      </c>
      <c r="G50" s="12">
        <v>21815544</v>
      </c>
      <c r="H50" s="9" t="s">
        <v>1722</v>
      </c>
      <c r="I50" t="str">
        <f t="shared" si="0"/>
        <v>('COLLACHAGUA TAYPE PATRICIA ESTHER','CL. ROSARIO N° 500 INT. 07 - CERCADO DE CHINCHA - CHINCHA ALTA','PUEBLO NUEVO','ZONA: PUEBLO - TECHO PROPIO','933513255','21815544','F1'),</v>
      </c>
    </row>
    <row r="51" spans="1:9">
      <c r="A51" s="2">
        <v>54</v>
      </c>
      <c r="B51" s="9" t="s">
        <v>1157</v>
      </c>
      <c r="C51" s="9" t="s">
        <v>1158</v>
      </c>
      <c r="D51" s="9" t="s">
        <v>1680</v>
      </c>
      <c r="E51" s="9" t="s">
        <v>19</v>
      </c>
      <c r="F51" s="9">
        <v>965696054</v>
      </c>
      <c r="G51" s="12">
        <v>21815949</v>
      </c>
      <c r="H51" s="9" t="s">
        <v>1722</v>
      </c>
      <c r="I51" t="str">
        <f t="shared" si="0"/>
        <v>('YATACO GARCIA MARIA SANTOS','PSJ. DOS DE MAYO S/N - CRUZ BLANCA - CHINCHA','CHINCHA ALTA','ZONA: CRUZ BLANCA PARTE ALTA oruro','965696054','21815949','F1'),</v>
      </c>
    </row>
    <row r="52" spans="1:9">
      <c r="A52" s="2">
        <v>55</v>
      </c>
      <c r="B52" s="9" t="s">
        <v>516</v>
      </c>
      <c r="C52" s="9" t="s">
        <v>517</v>
      </c>
      <c r="D52" s="9" t="s">
        <v>1680</v>
      </c>
      <c r="E52" s="9" t="s">
        <v>90</v>
      </c>
      <c r="F52" s="9" t="s">
        <v>518</v>
      </c>
      <c r="G52" s="12">
        <v>21817739</v>
      </c>
      <c r="H52" s="9" t="s">
        <v>1722</v>
      </c>
      <c r="I52" t="str">
        <f t="shared" si="0"/>
        <v>('PEVE GUTIERREZ JHON ROBINSON','Avenida principal mz A Lt 11 , centro Poblado Condorillo Alto Ref: Por la bodega Charito','CHINCHA ALTA','ZONA: CONDORILLO PARTE ALTA','971 906 846','21817739','F1'),</v>
      </c>
    </row>
    <row r="53" spans="1:9">
      <c r="A53" s="2">
        <v>56</v>
      </c>
      <c r="B53" s="9" t="s">
        <v>1332</v>
      </c>
      <c r="C53" s="9" t="s">
        <v>1333</v>
      </c>
      <c r="D53" s="9" t="s">
        <v>1682</v>
      </c>
      <c r="E53" s="9" t="s">
        <v>1257</v>
      </c>
      <c r="F53" s="9">
        <v>978934930</v>
      </c>
      <c r="G53" s="12">
        <v>21818918</v>
      </c>
      <c r="H53" s="9" t="s">
        <v>1722</v>
      </c>
      <c r="I53" t="str">
        <f t="shared" si="0"/>
        <v>('CASTILLON CHUQUISPUMA LIZANDRO HERCULES','UPIS EL TREBOL MZ. G - LOTE 22 - PUEBLO NUEVO','PUEBLO NUEVO','ZONA: PUEBLO - LAS AMERICAS','978934930','21818918','F1'),</v>
      </c>
    </row>
    <row r="54" spans="1:9">
      <c r="A54" s="2">
        <v>57</v>
      </c>
      <c r="B54" s="9" t="s">
        <v>1209</v>
      </c>
      <c r="C54" s="9" t="s">
        <v>1210</v>
      </c>
      <c r="D54" s="9" t="s">
        <v>1679</v>
      </c>
      <c r="E54" s="9" t="s">
        <v>36</v>
      </c>
      <c r="F54" s="9">
        <v>902779650</v>
      </c>
      <c r="G54" s="12">
        <v>21819087</v>
      </c>
      <c r="H54" s="9" t="s">
        <v>1722</v>
      </c>
      <c r="I54" t="str">
        <f t="shared" si="0"/>
        <v>('FERNANDEZ MEZA HEBER ANDER','AV. PARAISO NRO. PUERTA 496 - C.P. LOMO LARGO - SUNAMPE','SUNAMPE','ZONA: SUNAMPE – PARAISO','902779650','21819087','F1'),</v>
      </c>
    </row>
    <row r="55" spans="1:9">
      <c r="A55" s="2">
        <v>58</v>
      </c>
      <c r="B55" s="9" t="s">
        <v>611</v>
      </c>
      <c r="C55" s="9" t="s">
        <v>612</v>
      </c>
      <c r="D55" s="9" t="s">
        <v>1679</v>
      </c>
      <c r="E55" s="9" t="s">
        <v>22</v>
      </c>
      <c r="F55" s="9">
        <v>922706526</v>
      </c>
      <c r="G55" s="12">
        <v>21819456</v>
      </c>
      <c r="H55" s="9" t="s">
        <v>1722</v>
      </c>
      <c r="I55" t="str">
        <f t="shared" si="0"/>
        <v>('SARAVIA DE YATACO MARITSA YSABEL','San Pedro de Pilpa - PSJE SAN BLAS Nro.Lote 09 Sunampe','SUNAMPE','ZONA: SUNAMPE – SAN PILPA','922706526','21819456','F1'),</v>
      </c>
    </row>
    <row r="56" spans="1:9">
      <c r="A56" s="2">
        <v>59</v>
      </c>
      <c r="B56" s="9" t="s">
        <v>1677</v>
      </c>
      <c r="C56" s="9" t="s">
        <v>1678</v>
      </c>
      <c r="D56" s="9" t="s">
        <v>1683</v>
      </c>
      <c r="E56" s="9" t="s">
        <v>1627</v>
      </c>
      <c r="F56" s="9">
        <v>923288466</v>
      </c>
      <c r="G56" s="12">
        <v>21824486</v>
      </c>
      <c r="H56" s="9" t="s">
        <v>1733</v>
      </c>
      <c r="I56" t="str">
        <f t="shared" si="0"/>
        <v>('ANCHANTE BOADA IVAN MOISES','Prolongación sant domingo #170 chincha baja','TAMBO DE MORA','Zona: Tambo de Mora 1','923288466','21824486','F2'),</v>
      </c>
    </row>
    <row r="57" spans="1:9">
      <c r="A57" s="2">
        <v>60</v>
      </c>
      <c r="B57" s="9" t="s">
        <v>1238</v>
      </c>
      <c r="C57" s="9" t="s">
        <v>1239</v>
      </c>
      <c r="D57" s="9" t="s">
        <v>1682</v>
      </c>
      <c r="E57" s="9" t="s">
        <v>846</v>
      </c>
      <c r="F57" s="9" t="s">
        <v>1240</v>
      </c>
      <c r="G57" s="12">
        <v>21829438</v>
      </c>
      <c r="H57" s="9" t="s">
        <v>1722</v>
      </c>
      <c r="I57" t="str">
        <f t="shared" si="0"/>
        <v>('SANABRIA CONISLLA ERLINDA SONIA','Upis  keyko Sofia Mz ñ Lt  20 -Salvador','PUEBLO NUEVO','ZONA: PUEBLO - SALVADOR','972 027 085','21829438','F1'),</v>
      </c>
    </row>
    <row r="58" spans="1:9">
      <c r="A58" s="2">
        <v>61</v>
      </c>
      <c r="B58" s="9" t="s">
        <v>315</v>
      </c>
      <c r="C58" s="9" t="s">
        <v>316</v>
      </c>
      <c r="D58" s="9" t="s">
        <v>1681</v>
      </c>
      <c r="E58" s="9" t="s">
        <v>317</v>
      </c>
      <c r="F58" s="9">
        <v>914853211</v>
      </c>
      <c r="G58" s="12">
        <v>21830221</v>
      </c>
      <c r="H58" s="9" t="s">
        <v>1722</v>
      </c>
      <c r="I58" t="str">
        <f t="shared" si="0"/>
        <v>('CASTILLA HUAROTE FELIX','Av. Melchorita 607 - Grocio Prado','GROCIO PRADO','ZONA: GROCIO - EL PORVENIR','914853211','21830221','F1'),</v>
      </c>
    </row>
    <row r="59" spans="1:9">
      <c r="A59" s="2">
        <v>66</v>
      </c>
      <c r="B59" s="9" t="s">
        <v>613</v>
      </c>
      <c r="C59" s="9" t="s">
        <v>614</v>
      </c>
      <c r="D59" s="9" t="s">
        <v>1681</v>
      </c>
      <c r="E59" s="9" t="s">
        <v>317</v>
      </c>
      <c r="F59" s="9">
        <v>933142570</v>
      </c>
      <c r="G59" s="12">
        <v>21838938</v>
      </c>
      <c r="H59" s="9" t="s">
        <v>1722</v>
      </c>
      <c r="I59" t="str">
        <f t="shared" si="0"/>
        <v>('MORON RONCEROS ADALBERTO GUILLERMO','AV. EL PORVENIR LOTE 30(CASA DE 2 PISOS, COSTADO DE UNA TIENDA)','GROCIO PRADO','ZONA: GROCIO - EL PORVENIR','933142570','21838938','F1'),</v>
      </c>
    </row>
    <row r="60" spans="1:9">
      <c r="A60" s="2">
        <v>67</v>
      </c>
      <c r="B60" s="9" t="s">
        <v>1231</v>
      </c>
      <c r="C60" s="9" t="s">
        <v>1232</v>
      </c>
      <c r="D60" s="9" t="s">
        <v>1679</v>
      </c>
      <c r="E60" s="9" t="s">
        <v>2</v>
      </c>
      <c r="F60" s="9" t="s">
        <v>1233</v>
      </c>
      <c r="G60" s="12">
        <v>21845027</v>
      </c>
      <c r="H60" s="9" t="s">
        <v>1722</v>
      </c>
      <c r="I60" t="str">
        <f t="shared" si="0"/>
        <v>('CANCHARI QUISPE JHONY ANGEL','PSJE SAN FRANCISCO MZ. X LT. 8 - C.P. SAN IGNACIO - SUNAMPE','SUNAMPE','ZONA: SUNAMPE – SAN IGNACIO','963 847 560','21845027','F1'),</v>
      </c>
    </row>
    <row r="61" spans="1:9">
      <c r="A61" s="2">
        <v>68</v>
      </c>
      <c r="B61" s="9" t="s">
        <v>74</v>
      </c>
      <c r="C61" s="9" t="s">
        <v>75</v>
      </c>
      <c r="D61" s="9" t="s">
        <v>1679</v>
      </c>
      <c r="E61" s="9" t="s">
        <v>2</v>
      </c>
      <c r="F61" s="9">
        <v>922771211</v>
      </c>
      <c r="G61" s="12">
        <v>21845817</v>
      </c>
      <c r="H61" s="9" t="s">
        <v>1722</v>
      </c>
      <c r="I61" t="str">
        <f t="shared" si="0"/>
        <v>('TASAYCO GARCIA DANIEL','Av San Francisco 117 sunampe','SUNAMPE','ZONA: SUNAMPE – SAN IGNACIO','922771211','21845817','F1'),</v>
      </c>
    </row>
    <row r="62" spans="1:9">
      <c r="A62" s="2">
        <v>69</v>
      </c>
      <c r="B62" s="9" t="s">
        <v>704</v>
      </c>
      <c r="C62" s="9" t="s">
        <v>705</v>
      </c>
      <c r="D62" s="9" t="s">
        <v>1679</v>
      </c>
      <c r="E62" s="9" t="s">
        <v>135</v>
      </c>
      <c r="F62" s="9">
        <v>993448961</v>
      </c>
      <c r="G62" s="12">
        <v>21845970</v>
      </c>
      <c r="H62" s="9" t="s">
        <v>1722</v>
      </c>
      <c r="I62" t="str">
        <f t="shared" si="0"/>
        <v>('PACHAS SANCHEZ DORIS MARLENE','Av san jose 29 - huaca grande','SUNAMPE','ZONA: SUNAMPE – HUACA GRANDE','993448961','21845970','F1'),</v>
      </c>
    </row>
    <row r="63" spans="1:9">
      <c r="A63" s="2">
        <v>72</v>
      </c>
      <c r="B63" s="9" t="s">
        <v>483</v>
      </c>
      <c r="C63" s="9" t="s">
        <v>484</v>
      </c>
      <c r="D63" s="9" t="s">
        <v>1680</v>
      </c>
      <c r="E63" s="9" t="s">
        <v>19</v>
      </c>
      <c r="F63" s="9">
        <v>955017366</v>
      </c>
      <c r="G63" s="12">
        <v>21846116</v>
      </c>
      <c r="H63" s="9" t="s">
        <v>1722</v>
      </c>
      <c r="I63" t="str">
        <f t="shared" si="0"/>
        <v>('CRISOSTOMO CUELLAR ARNALDO','PSJ. SANTA ROSA S/N - CRUZ BLANCA','CHINCHA ALTA','ZONA: CRUZ BLANCA PARTE ALTA oruro','955017366','21846116','F1'),</v>
      </c>
    </row>
    <row r="64" spans="1:9">
      <c r="A64" s="2">
        <v>73</v>
      </c>
      <c r="B64" s="9" t="s">
        <v>1121</v>
      </c>
      <c r="C64" s="9" t="s">
        <v>1122</v>
      </c>
      <c r="D64" s="9" t="s">
        <v>1679</v>
      </c>
      <c r="E64" s="9" t="s">
        <v>8</v>
      </c>
      <c r="F64" s="9">
        <v>947146086</v>
      </c>
      <c r="G64" s="12">
        <v>21846189</v>
      </c>
      <c r="H64" s="9" t="s">
        <v>1722</v>
      </c>
      <c r="I64" t="str">
        <f t="shared" si="0"/>
        <v>('PACHAS SANCHEZ LUIS ARMANDO','AV. EMANCIPACIÓN, PSJE. GUADALUPE Nª 12 - C.P. HUACA GRANDE - SUNAMPE','SUNAMPE','ZONA: SUNAMPE – COLEGIO','947146086','21846189','F1'),</v>
      </c>
    </row>
    <row r="65" spans="1:9">
      <c r="A65" s="2">
        <v>74</v>
      </c>
      <c r="B65" s="9" t="s">
        <v>459</v>
      </c>
      <c r="C65" s="9" t="s">
        <v>460</v>
      </c>
      <c r="D65" s="9" t="s">
        <v>1679</v>
      </c>
      <c r="E65" s="9" t="s">
        <v>135</v>
      </c>
      <c r="F65" s="9">
        <v>956946577</v>
      </c>
      <c r="G65" s="12">
        <v>21846225</v>
      </c>
      <c r="H65" s="9" t="s">
        <v>1722</v>
      </c>
      <c r="I65" t="str">
        <f t="shared" si="0"/>
        <v>('ROSAS ROJAS JAVIER ELMER','CALLE NAZARENO N° 33 - SUNAMPE','SUNAMPE','ZONA: SUNAMPE – HUACA GRANDE','956946577','21846225','F1'),</v>
      </c>
    </row>
    <row r="66" spans="1:9">
      <c r="A66" s="2">
        <v>75</v>
      </c>
      <c r="B66" s="9" t="s">
        <v>1688</v>
      </c>
      <c r="C66" s="9" t="s">
        <v>1703</v>
      </c>
      <c r="D66" s="9" t="s">
        <v>1679</v>
      </c>
      <c r="E66" s="9" t="s">
        <v>22</v>
      </c>
      <c r="F66" s="9">
        <v>902874390</v>
      </c>
      <c r="G66" s="12">
        <v>21846318</v>
      </c>
      <c r="H66" s="9" t="s">
        <v>1722</v>
      </c>
      <c r="I66" t="str">
        <f t="shared" si="0"/>
        <v>('NAPA CRISOSTOMO RUBEN BAUTISTA','Av. San pedro de pilpa 133 - Lomo largo - Sunampe','SUNAMPE','ZONA: SUNAMPE – SAN PILPA','902874390','21846318','F1'),</v>
      </c>
    </row>
    <row r="67" spans="1:9">
      <c r="A67" s="2">
        <v>77</v>
      </c>
      <c r="B67" s="9" t="s">
        <v>127</v>
      </c>
      <c r="C67" s="9" t="s">
        <v>128</v>
      </c>
      <c r="D67" s="9" t="s">
        <v>1679</v>
      </c>
      <c r="E67" s="9" t="s">
        <v>8</v>
      </c>
      <c r="F67" s="9">
        <v>949645226</v>
      </c>
      <c r="G67" s="12">
        <v>21846794</v>
      </c>
      <c r="H67" s="9" t="s">
        <v>1722</v>
      </c>
      <c r="I67" t="str">
        <f t="shared" ref="I67:I130" si="1">"('"&amp;B67&amp;"','"&amp;C67&amp;"','"&amp;D67&amp;"','"&amp;E67&amp;"','"&amp;F67&amp;"','"&amp;G67&amp;"','"&amp;H67&amp;"'),"</f>
        <v>('CRISOSTOMO CUELLA LUIS ALFONSO','A.v Los Proceres s/n  -SUNAMPE','SUNAMPE','ZONA: SUNAMPE – COLEGIO','949645226','21846794','F1'),</v>
      </c>
    </row>
    <row r="68" spans="1:9">
      <c r="A68" s="2">
        <v>78</v>
      </c>
      <c r="B68" s="9" t="s">
        <v>1013</v>
      </c>
      <c r="C68" s="9" t="s">
        <v>1014</v>
      </c>
      <c r="D68" s="9" t="s">
        <v>1679</v>
      </c>
      <c r="E68" s="9" t="s">
        <v>230</v>
      </c>
      <c r="F68" s="9" t="s">
        <v>1015</v>
      </c>
      <c r="G68" s="12">
        <v>21847095</v>
      </c>
      <c r="H68" s="9" t="s">
        <v>1722</v>
      </c>
      <c r="I68" t="str">
        <f t="shared" si="1"/>
        <v>('ROJAS BACIGALUPO CESAR ANTONIO','CL. 09 DE DICIEMBRE N° 151, CERCADO DE SUNAMPE','SUNAMPE','ZONA: SUNAMPE – SIMON','956 064 829','21847095','F1'),</v>
      </c>
    </row>
    <row r="69" spans="1:9">
      <c r="A69" s="2">
        <v>79</v>
      </c>
      <c r="B69" s="9" t="s">
        <v>390</v>
      </c>
      <c r="C69" s="9" t="s">
        <v>391</v>
      </c>
      <c r="D69" s="9" t="s">
        <v>1679</v>
      </c>
      <c r="E69" s="9" t="s">
        <v>135</v>
      </c>
      <c r="F69" s="9">
        <v>950902644</v>
      </c>
      <c r="G69" s="12">
        <v>21847118</v>
      </c>
      <c r="H69" s="9" t="s">
        <v>1722</v>
      </c>
      <c r="I69" t="str">
        <f t="shared" si="1"/>
        <v>('ROJAS BACIGALUPO CARMELA LEONOR','Av.Nazarenas N 62 Huaca Grande','SUNAMPE','ZONA: SUNAMPE – HUACA GRANDE','950902644','21847118','F1'),</v>
      </c>
    </row>
    <row r="70" spans="1:9">
      <c r="A70" s="2">
        <v>80</v>
      </c>
      <c r="B70" s="9" t="s">
        <v>832</v>
      </c>
      <c r="C70" s="9" t="s">
        <v>833</v>
      </c>
      <c r="D70" s="9" t="s">
        <v>1679</v>
      </c>
      <c r="E70" s="9" t="s">
        <v>5</v>
      </c>
      <c r="F70" s="9" t="s">
        <v>834</v>
      </c>
      <c r="G70" s="12">
        <v>21847790</v>
      </c>
      <c r="H70" s="9" t="s">
        <v>1722</v>
      </c>
      <c r="I70" t="str">
        <f t="shared" si="1"/>
        <v>('CRISOSTOMO RIVADENEYRA GLADYS','AV. SAN ANTONIO, PSJ. 58 PUERTA N°165 - SUNAMPE','SUNAMPE','ZONA: SUNAMPE – SANTA ROSA','912 344 640','21847790','F1'),</v>
      </c>
    </row>
    <row r="71" spans="1:9">
      <c r="A71" s="2">
        <v>82</v>
      </c>
      <c r="B71" s="9" t="s">
        <v>48</v>
      </c>
      <c r="C71" s="9" t="s">
        <v>49</v>
      </c>
      <c r="D71" s="9" t="s">
        <v>1679</v>
      </c>
      <c r="E71" s="9" t="s">
        <v>36</v>
      </c>
      <c r="F71" s="9">
        <v>965189450</v>
      </c>
      <c r="G71" s="12">
        <v>21848813</v>
      </c>
      <c r="H71" s="9" t="s">
        <v>1722</v>
      </c>
      <c r="I71" t="str">
        <f t="shared" si="1"/>
        <v>('ALMEYDA DE NAPA MARGARITA VICTORIA','Av. paraíso - Lomo Largo - Sunampe ref: A 1 cuadra del hostal “El otro Sitio”','SUNAMPE','ZONA: SUNAMPE – PARAISO','965189450','21848813','F1'),</v>
      </c>
    </row>
    <row r="72" spans="1:9">
      <c r="A72" s="2">
        <v>83</v>
      </c>
      <c r="B72" s="9" t="s">
        <v>1379</v>
      </c>
      <c r="C72" s="9" t="s">
        <v>1380</v>
      </c>
      <c r="D72" s="9" t="s">
        <v>1679</v>
      </c>
      <c r="E72" s="9" t="s">
        <v>22</v>
      </c>
      <c r="F72" s="9">
        <v>967224348</v>
      </c>
      <c r="G72" s="12">
        <v>21849130</v>
      </c>
      <c r="H72" s="9" t="s">
        <v>1722</v>
      </c>
      <c r="I72" t="str">
        <f t="shared" si="1"/>
        <v>('ISABEL LEONOR MELO VDA DE ALMEYDA','AV. PARAISO N° 49 - C.P. LOMO LARGO - SUNAMPE','SUNAMPE','ZONA: SUNAMPE – SAN PILPA','967224348','21849130','F1'),</v>
      </c>
    </row>
    <row r="73" spans="1:9">
      <c r="A73" s="2">
        <v>84</v>
      </c>
      <c r="B73" s="9" t="s">
        <v>792</v>
      </c>
      <c r="C73" s="9" t="s">
        <v>793</v>
      </c>
      <c r="D73" s="9" t="s">
        <v>1679</v>
      </c>
      <c r="E73" s="9" t="s">
        <v>5</v>
      </c>
      <c r="F73" s="9">
        <v>997007429</v>
      </c>
      <c r="G73" s="12">
        <v>21849411</v>
      </c>
      <c r="H73" s="9" t="s">
        <v>1722</v>
      </c>
      <c r="I73" t="str">
        <f t="shared" si="1"/>
        <v>('ROJAS PACHAS JACINTO','PASO DE GOMEZ Nº140 - SUNAMPE','SUNAMPE','ZONA: SUNAMPE – SANTA ROSA','997007429','21849411','F1'),</v>
      </c>
    </row>
    <row r="74" spans="1:9">
      <c r="A74" s="2">
        <v>85</v>
      </c>
      <c r="B74" s="9" t="s">
        <v>698</v>
      </c>
      <c r="C74" s="9" t="s">
        <v>699</v>
      </c>
      <c r="D74" s="9" t="s">
        <v>1679</v>
      </c>
      <c r="E74" s="9" t="s">
        <v>2</v>
      </c>
      <c r="F74" s="9">
        <v>998232755</v>
      </c>
      <c r="G74" s="12">
        <v>21849573</v>
      </c>
      <c r="H74" s="9" t="s">
        <v>1722</v>
      </c>
      <c r="I74" t="str">
        <f t="shared" si="1"/>
        <v>('TORRES AVALOS ALEJANDRO','AV. HUASCAR 130 - SAN IGNACIO- SUNAMPE  REF PLAZUELA DE SAN IGNACIO 1 CDA ADELANTE','SUNAMPE','ZONA: SUNAMPE – SAN IGNACIO','998232755','21849573','F1'),</v>
      </c>
    </row>
    <row r="75" spans="1:9">
      <c r="A75" s="2">
        <v>86</v>
      </c>
      <c r="B75" s="9" t="s">
        <v>1695</v>
      </c>
      <c r="C75" s="9" t="s">
        <v>1237</v>
      </c>
      <c r="D75" s="9" t="s">
        <v>1679</v>
      </c>
      <c r="E75" s="9" t="s">
        <v>36</v>
      </c>
      <c r="F75" s="9">
        <v>952354023</v>
      </c>
      <c r="G75" s="12">
        <v>21850170</v>
      </c>
      <c r="H75" s="9" t="s">
        <v>1722</v>
      </c>
      <c r="I75" t="str">
        <f t="shared" si="1"/>
        <v>('ALMEYDA SANCHEZ PABLO LUIS ','AV. PARAISO N° 21 - LOMO LARGO - SUNAMPE','SUNAMPE','ZONA: SUNAMPE – PARAISO','952354023','21850170','F1'),</v>
      </c>
    </row>
    <row r="76" spans="1:9">
      <c r="A76" s="2">
        <v>87</v>
      </c>
      <c r="B76" s="9" t="s">
        <v>1031</v>
      </c>
      <c r="C76" s="9" t="s">
        <v>1032</v>
      </c>
      <c r="D76" s="9" t="s">
        <v>1679</v>
      </c>
      <c r="E76" s="9" t="s">
        <v>135</v>
      </c>
      <c r="F76" s="9">
        <v>997067532</v>
      </c>
      <c r="G76" s="12">
        <v>21850270</v>
      </c>
      <c r="H76" s="9" t="s">
        <v>1722</v>
      </c>
      <c r="I76" t="str">
        <f t="shared" si="1"/>
        <v>('DE LA CRUZ QUISPE VICTORIA YSABEL','AV. FATIMA N° 373 - SUNAMPE','SUNAMPE','ZONA: SUNAMPE – HUACA GRANDE','997067532','21850270','F1'),</v>
      </c>
    </row>
    <row r="77" spans="1:9">
      <c r="A77" s="2">
        <v>88</v>
      </c>
      <c r="B77" s="9" t="s">
        <v>1132</v>
      </c>
      <c r="C77" s="9" t="s">
        <v>1133</v>
      </c>
      <c r="D77" s="9" t="s">
        <v>1679</v>
      </c>
      <c r="E77" s="9" t="s">
        <v>5</v>
      </c>
      <c r="F77" s="9">
        <v>906071409</v>
      </c>
      <c r="G77" s="12">
        <v>21850623</v>
      </c>
      <c r="H77" s="9" t="s">
        <v>1722</v>
      </c>
      <c r="I77" t="str">
        <f t="shared" si="1"/>
        <v>('DE LA CRUZ PACHAS PEDRO ENRIQUE','PSJE. PASO DE GOMEZ Nª 111-10C - C.P. HUACA GRANDE - SUNAMPE','SUNAMPE','ZONA: SUNAMPE – SANTA ROSA','906071409','21850623','F1'),</v>
      </c>
    </row>
    <row r="78" spans="1:9">
      <c r="A78" s="2">
        <v>89</v>
      </c>
      <c r="B78" s="9" t="s">
        <v>742</v>
      </c>
      <c r="C78" s="9" t="s">
        <v>743</v>
      </c>
      <c r="D78" s="9" t="s">
        <v>1679</v>
      </c>
      <c r="E78" s="9" t="s">
        <v>230</v>
      </c>
      <c r="F78" s="9" t="s">
        <v>744</v>
      </c>
      <c r="G78" s="12">
        <v>21851052</v>
      </c>
      <c r="H78" s="9" t="s">
        <v>1722</v>
      </c>
      <c r="I78" t="str">
        <f t="shared" si="1"/>
        <v>('ALMEYDA SOLARI BERTHA GLADYS','CALLE TUPAC AMARU Nª 395 - SUNAMPE (Ref. Espalda de la Munic)','SUNAMPE','ZONA: SUNAMPE – SIMON','948 643 610','21851052','F1'),</v>
      </c>
    </row>
    <row r="79" spans="1:9">
      <c r="A79" s="2">
        <v>90</v>
      </c>
      <c r="B79" s="9" t="s">
        <v>597</v>
      </c>
      <c r="C79" s="9" t="s">
        <v>598</v>
      </c>
      <c r="D79" s="9" t="s">
        <v>1679</v>
      </c>
      <c r="E79" s="9" t="s">
        <v>596</v>
      </c>
      <c r="F79" s="9">
        <v>944121137</v>
      </c>
      <c r="G79" s="12">
        <v>21851670</v>
      </c>
      <c r="H79" s="9" t="s">
        <v>1722</v>
      </c>
      <c r="I79" t="str">
        <f t="shared" si="1"/>
        <v>('SAENZ MAGALLANES JULIO CESAR','CALLE LIMA 349- Sunampe (A DOS PUERTAS DE LA POLLERÍA AJÍ SECO)','SUNAMPE','ZONA: SUNAMPE – CALLE LIMA','944121137','21851670','F1'),</v>
      </c>
    </row>
    <row r="80" spans="1:9">
      <c r="A80" s="2">
        <v>91</v>
      </c>
      <c r="B80" s="9" t="s">
        <v>607</v>
      </c>
      <c r="C80" s="9" t="s">
        <v>608</v>
      </c>
      <c r="D80" s="9" t="s">
        <v>1679</v>
      </c>
      <c r="E80" s="9" t="s">
        <v>22</v>
      </c>
      <c r="F80" s="9">
        <v>928270969</v>
      </c>
      <c r="G80" s="12">
        <v>21851781</v>
      </c>
      <c r="H80" s="9" t="s">
        <v>1722</v>
      </c>
      <c r="I80" t="str">
        <f t="shared" si="1"/>
        <v>('CASACHAGUA LARA LILIANA ALICIA','AV. JOSE SANTOS CHOCANO N155 - LOMO LARGO - SUNAMPE','SUNAMPE','ZONA: SUNAMPE – SAN PILPA','928270969','21851781','F1'),</v>
      </c>
    </row>
    <row r="81" spans="1:9">
      <c r="A81" s="2">
        <v>92</v>
      </c>
      <c r="B81" s="9" t="s">
        <v>972</v>
      </c>
      <c r="C81" s="9" t="s">
        <v>973</v>
      </c>
      <c r="D81" s="9" t="s">
        <v>1679</v>
      </c>
      <c r="E81" s="9" t="s">
        <v>22</v>
      </c>
      <c r="F81" s="9">
        <v>954052720</v>
      </c>
      <c r="G81" s="12">
        <v>21852100</v>
      </c>
      <c r="H81" s="9" t="s">
        <v>1722</v>
      </c>
      <c r="I81" t="str">
        <f t="shared" si="1"/>
        <v>('ALFONSO TORRES GREGORIO ALFREDO','AV. ALFONSO UGARTE N° 544 - SAN PEDRO DE PILPA - SUNAMPE','SUNAMPE','ZONA: SUNAMPE – SAN PILPA','954052720','21852100','F1'),</v>
      </c>
    </row>
    <row r="82" spans="1:9">
      <c r="A82" s="2">
        <v>93</v>
      </c>
      <c r="B82" s="9" t="s">
        <v>158</v>
      </c>
      <c r="C82" s="9" t="s">
        <v>159</v>
      </c>
      <c r="D82" s="9" t="s">
        <v>1679</v>
      </c>
      <c r="E82" s="9" t="s">
        <v>5</v>
      </c>
      <c r="F82" s="9">
        <v>933227205</v>
      </c>
      <c r="G82" s="12">
        <v>21852326</v>
      </c>
      <c r="H82" s="9" t="s">
        <v>1722</v>
      </c>
      <c r="I82" t="str">
        <f t="shared" si="1"/>
        <v>('GONZALES PEÑA ANA YSABEL','AV.SANTA ROSA 146 SUNAMPE','SUNAMPE','ZONA: SUNAMPE – SANTA ROSA','933227205','21852326','F1'),</v>
      </c>
    </row>
    <row r="83" spans="1:9">
      <c r="A83" s="2">
        <v>94</v>
      </c>
      <c r="B83" s="9" t="s">
        <v>1634</v>
      </c>
      <c r="C83" s="9" t="s">
        <v>1635</v>
      </c>
      <c r="D83" s="9" t="s">
        <v>1683</v>
      </c>
      <c r="E83" s="9" t="s">
        <v>1622</v>
      </c>
      <c r="F83" s="9">
        <v>994281157</v>
      </c>
      <c r="G83" s="12">
        <v>21854034</v>
      </c>
      <c r="H83" s="9" t="s">
        <v>1733</v>
      </c>
      <c r="I83" t="str">
        <f t="shared" si="1"/>
        <v>('MENESES CANELO LUIS NICOLAS','calle muelle 227 tambo de mora','TAMBO DE MORA','Zona: Tambo de Mora 2','994281157','21854034','F2'),</v>
      </c>
    </row>
    <row r="84" spans="1:9">
      <c r="A84" s="2">
        <v>95</v>
      </c>
      <c r="B84" s="9" t="s">
        <v>1657</v>
      </c>
      <c r="C84" s="9" t="s">
        <v>1658</v>
      </c>
      <c r="D84" s="9" t="s">
        <v>1683</v>
      </c>
      <c r="E84" s="9" t="s">
        <v>1725</v>
      </c>
      <c r="F84" s="9">
        <v>990519702</v>
      </c>
      <c r="G84" s="12">
        <v>21854135</v>
      </c>
      <c r="H84" s="9" t="s">
        <v>1722</v>
      </c>
      <c r="I84" t="str">
        <f t="shared" si="1"/>
        <v>('CHALA MARCHAN FANNY CAROL','Psj jazmin #105 - Tambo de Mora Ref: Frente a la Policia nacion de tambo de mora','TAMBO DE MORA','No especificado','990519702','21854135','F1'),</v>
      </c>
    </row>
    <row r="85" spans="1:9">
      <c r="A85" s="2">
        <v>97</v>
      </c>
      <c r="B85" s="9" t="s">
        <v>44</v>
      </c>
      <c r="C85" s="9" t="s">
        <v>45</v>
      </c>
      <c r="D85" s="9" t="s">
        <v>1679</v>
      </c>
      <c r="E85" s="9" t="s">
        <v>22</v>
      </c>
      <c r="F85" s="9">
        <v>938429070</v>
      </c>
      <c r="G85" s="12">
        <v>21854378</v>
      </c>
      <c r="H85" s="9" t="s">
        <v>1733</v>
      </c>
      <c r="I85" t="str">
        <f t="shared" si="1"/>
        <v>('DE LA CRUZ MANRIQUE NOLBERTO FLORECINDO','calle San Vicente Ferrer 520 Sunampe','SUNAMPE','ZONA: SUNAMPE – SAN PILPA','938429070','21854378','F2'),</v>
      </c>
    </row>
    <row r="86" spans="1:9">
      <c r="A86" s="2">
        <v>98</v>
      </c>
      <c r="B86" s="9" t="s">
        <v>53</v>
      </c>
      <c r="C86" s="9" t="s">
        <v>54</v>
      </c>
      <c r="D86" s="9" t="s">
        <v>1679</v>
      </c>
      <c r="E86" s="9" t="s">
        <v>14</v>
      </c>
      <c r="F86" s="9">
        <v>922393873</v>
      </c>
      <c r="G86" s="12">
        <v>21854605</v>
      </c>
      <c r="H86" s="9" t="s">
        <v>1722</v>
      </c>
      <c r="I86" t="str">
        <f t="shared" si="1"/>
        <v>('ESPINOZA MUÑOZ LILIANA LASTENIA','Av. San marcelo 158 (Villa Julia) - Sunampe','SUNAMPE','ZONA: SUNAMPE – VILLA JULIA','922393873','21854605','F1'),</v>
      </c>
    </row>
    <row r="87" spans="1:9">
      <c r="A87" s="2">
        <v>99</v>
      </c>
      <c r="B87" s="9" t="s">
        <v>235</v>
      </c>
      <c r="C87" s="9" t="s">
        <v>236</v>
      </c>
      <c r="D87" s="9" t="s">
        <v>1679</v>
      </c>
      <c r="E87" s="9" t="s">
        <v>36</v>
      </c>
      <c r="F87" s="9">
        <v>953619455</v>
      </c>
      <c r="G87" s="12">
        <v>21854655</v>
      </c>
      <c r="H87" s="9" t="s">
        <v>1722</v>
      </c>
      <c r="I87" t="str">
        <f t="shared" si="1"/>
        <v>('LOPEZ MATEO SONIA ROSA','Calle Grau 168 lomo largo','SUNAMPE','ZONA: SUNAMPE – PARAISO','953619455','21854655','F1'),</v>
      </c>
    </row>
    <row r="88" spans="1:9">
      <c r="A88" s="2">
        <v>100</v>
      </c>
      <c r="B88" s="9" t="s">
        <v>55</v>
      </c>
      <c r="C88" s="9" t="s">
        <v>56</v>
      </c>
      <c r="D88" s="9" t="s">
        <v>1679</v>
      </c>
      <c r="E88" s="9" t="s">
        <v>36</v>
      </c>
      <c r="F88" s="9">
        <v>914013935</v>
      </c>
      <c r="G88" s="12">
        <v>21854743</v>
      </c>
      <c r="H88" s="9" t="s">
        <v>1722</v>
      </c>
      <c r="I88" t="str">
        <f t="shared" si="1"/>
        <v>('ALMEYDA GARCIA ABEL ARTURO','Calle Grau 108 - Lomo Largo - Sunampe','SUNAMPE','ZONA: SUNAMPE – PARAISO','914013935','21854743','F1'),</v>
      </c>
    </row>
    <row r="89" spans="1:9">
      <c r="A89" s="2">
        <v>101</v>
      </c>
      <c r="B89" s="9" t="s">
        <v>1316</v>
      </c>
      <c r="C89" s="9" t="s">
        <v>1317</v>
      </c>
      <c r="D89" s="9" t="s">
        <v>1679</v>
      </c>
      <c r="E89" s="9" t="s">
        <v>135</v>
      </c>
      <c r="F89" s="9">
        <v>968682700</v>
      </c>
      <c r="G89" s="12">
        <v>21854794</v>
      </c>
      <c r="H89" s="9" t="s">
        <v>1733</v>
      </c>
      <c r="I89" t="str">
        <f t="shared" si="1"/>
        <v>('CESAR AGUSTO ROJAS RAMOS','AV. FATIMA MZ. I - LT. 01 - SUNAMPE','SUNAMPE','ZONA: SUNAMPE – HUACA GRANDE','968682700','21854794','F2'),</v>
      </c>
    </row>
    <row r="90" spans="1:9">
      <c r="A90" s="2">
        <v>102</v>
      </c>
      <c r="B90" s="9" t="s">
        <v>88</v>
      </c>
      <c r="C90" s="9" t="s">
        <v>89</v>
      </c>
      <c r="D90" s="9" t="s">
        <v>1680</v>
      </c>
      <c r="E90" s="9" t="s">
        <v>90</v>
      </c>
      <c r="F90" s="9">
        <v>910925866</v>
      </c>
      <c r="G90" s="12">
        <v>21856980</v>
      </c>
      <c r="H90" s="9" t="s">
        <v>1722</v>
      </c>
      <c r="I90" t="str">
        <f t="shared" si="1"/>
        <v>('LAZARO CANCHARI NESTOR BALVIS','C.P. CONDORILLO ALTO MZ L LT 10 - CHINCHA','CHINCHA ALTA','ZONA: CONDORILLO PARTE ALTA','910925866','21856980','F1'),</v>
      </c>
    </row>
    <row r="91" spans="1:9">
      <c r="A91" s="2">
        <v>103</v>
      </c>
      <c r="B91" s="9" t="s">
        <v>1416</v>
      </c>
      <c r="C91" s="9" t="s">
        <v>1417</v>
      </c>
      <c r="D91" s="9" t="s">
        <v>1682</v>
      </c>
      <c r="E91" s="9" t="s">
        <v>1383</v>
      </c>
      <c r="F91" s="9">
        <v>914066332</v>
      </c>
      <c r="G91" s="12">
        <v>21857342</v>
      </c>
      <c r="H91" s="9" t="s">
        <v>1722</v>
      </c>
      <c r="I91" t="str">
        <f t="shared" si="1"/>
        <v>('HUAMAN AGUIRRE TEODORA REVECA','AA.HH. LAS ROCAS MZ. F - LT. 06 - PUEBLO NUEVO','PUEBLO NUEVO','ZONA: PUEBLO - SATELITE - ROCAS','914066332','21857342','F1'),</v>
      </c>
    </row>
    <row r="92" spans="1:9">
      <c r="A92" s="2">
        <v>105</v>
      </c>
      <c r="B92" s="9" t="s">
        <v>1083</v>
      </c>
      <c r="C92" s="9" t="s">
        <v>1084</v>
      </c>
      <c r="D92" s="9" t="s">
        <v>1679</v>
      </c>
      <c r="E92" s="9" t="s">
        <v>106</v>
      </c>
      <c r="F92" s="9" t="s">
        <v>1085</v>
      </c>
      <c r="G92" s="12">
        <v>21857534</v>
      </c>
      <c r="H92" s="9" t="s">
        <v>1722</v>
      </c>
      <c r="I92" t="str">
        <f t="shared" si="1"/>
        <v>('VELARDE ORTIZ SANTA ANGELICA','AA.HH. EL MILAGRO DE SAN JUDAS TADEO MZ. D - LT. 8 - SUNAMPE','SUNAMPE','ZONA: SUNAMPE - MINA DE ORO','922 053 311','21857534','F1'),</v>
      </c>
    </row>
    <row r="93" spans="1:9">
      <c r="A93" s="2">
        <v>106</v>
      </c>
      <c r="B93" s="9" t="s">
        <v>853</v>
      </c>
      <c r="C93" s="9" t="s">
        <v>854</v>
      </c>
      <c r="D93" s="9" t="s">
        <v>1682</v>
      </c>
      <c r="E93" s="9" t="s">
        <v>846</v>
      </c>
      <c r="F93" s="9">
        <v>910942498</v>
      </c>
      <c r="G93" s="12">
        <v>21859181</v>
      </c>
      <c r="H93" s="9" t="s">
        <v>1722</v>
      </c>
      <c r="I93" t="str">
        <f t="shared" si="1"/>
        <v>('CASTRO AVALOS LUIS FERNANDO','AA.HH. EL SALVADOR MZ. N LT. 06 - PUEBLO NUEVO','PUEBLO NUEVO','ZONA: PUEBLO - SALVADOR','910942498','21859181','F1'),</v>
      </c>
    </row>
    <row r="94" spans="1:9">
      <c r="A94" s="2">
        <v>107</v>
      </c>
      <c r="B94" s="9" t="s">
        <v>376</v>
      </c>
      <c r="C94" s="9" t="s">
        <v>377</v>
      </c>
      <c r="D94" s="9" t="s">
        <v>1680</v>
      </c>
      <c r="E94" s="9" t="s">
        <v>99</v>
      </c>
      <c r="F94" s="9">
        <v>904612007</v>
      </c>
      <c r="G94" s="12">
        <v>21859806</v>
      </c>
      <c r="H94" s="9" t="s">
        <v>1722</v>
      </c>
      <c r="I94" t="str">
        <f t="shared" si="1"/>
        <v>('TORRES HUAMAN MARIA ISABEL','psj. primavera 116 cruz blanca','CHINCHA ALTA','ZONA: CRUZ BLANCA CAMPO','904612007','21859806','F1'),</v>
      </c>
    </row>
    <row r="95" spans="1:9">
      <c r="A95" s="2">
        <v>108</v>
      </c>
      <c r="B95" s="9" t="s">
        <v>450</v>
      </c>
      <c r="C95" s="9" t="s">
        <v>451</v>
      </c>
      <c r="D95" s="9" t="s">
        <v>1680</v>
      </c>
      <c r="E95" s="9" t="s">
        <v>90</v>
      </c>
      <c r="F95" s="9">
        <v>961760053</v>
      </c>
      <c r="G95" s="12">
        <v>21859950</v>
      </c>
      <c r="H95" s="9" t="s">
        <v>1722</v>
      </c>
      <c r="I95" t="str">
        <f t="shared" si="1"/>
        <v>('CHUQUISPUMA PEVE JUANA','C.P. Condorillo alto Mz. O lt. 13','CHINCHA ALTA','ZONA: CONDORILLO PARTE ALTA','961760053','21859950','F1'),</v>
      </c>
    </row>
    <row r="96" spans="1:9">
      <c r="A96" s="2">
        <v>110</v>
      </c>
      <c r="B96" s="9" t="s">
        <v>120</v>
      </c>
      <c r="C96" s="9" t="s">
        <v>121</v>
      </c>
      <c r="D96" s="9" t="s">
        <v>1680</v>
      </c>
      <c r="E96" s="9" t="s">
        <v>27</v>
      </c>
      <c r="F96" s="9">
        <v>992870887</v>
      </c>
      <c r="G96" s="12">
        <v>21860894</v>
      </c>
      <c r="H96" s="9" t="s">
        <v>1722</v>
      </c>
      <c r="I96" t="str">
        <f t="shared" si="1"/>
        <v>('HERRERA CASAS DE CHINCHAY MARIA ANTONIETA','Calle el Carmen Nº 163 - Cruz Blanca','CHINCHA ALTA','ZONA: CRUZ BLANCA PARTE BAJA','992870887','21860894','F1'),</v>
      </c>
    </row>
    <row r="97" spans="1:9">
      <c r="A97" s="2">
        <v>111</v>
      </c>
      <c r="B97" s="9" t="s">
        <v>465</v>
      </c>
      <c r="C97" s="9" t="s">
        <v>466</v>
      </c>
      <c r="D97" s="9" t="s">
        <v>1679</v>
      </c>
      <c r="E97" s="9" t="s">
        <v>2</v>
      </c>
      <c r="F97" s="9">
        <v>956319825</v>
      </c>
      <c r="G97" s="12">
        <v>21861508</v>
      </c>
      <c r="H97" s="9" t="s">
        <v>1722</v>
      </c>
      <c r="I97" t="str">
        <f t="shared" si="1"/>
        <v>('GARCIA LY FRIEDA VERONICA','Carretera Sunampe 351 pasando San Ignacio','SUNAMPE','ZONA: SUNAMPE – SAN IGNACIO','956319825','21861508','F1'),</v>
      </c>
    </row>
    <row r="98" spans="1:9">
      <c r="A98" s="2">
        <v>112</v>
      </c>
      <c r="B98" s="9" t="s">
        <v>228</v>
      </c>
      <c r="C98" s="9" t="s">
        <v>229</v>
      </c>
      <c r="D98" s="9" t="s">
        <v>1679</v>
      </c>
      <c r="E98" s="9" t="s">
        <v>230</v>
      </c>
      <c r="F98" s="9">
        <v>917289473</v>
      </c>
      <c r="G98" s="12">
        <v>21861580</v>
      </c>
      <c r="H98" s="9" t="s">
        <v>1722</v>
      </c>
      <c r="I98" t="str">
        <f t="shared" si="1"/>
        <v>('BALLENAS DELGADO ANA ETELVINA','CONDOMINIO LOS SAUCES MZ. D LT. 02 - SUNAMPE','SUNAMPE','ZONA: SUNAMPE – SIMON','917289473','21861580','F1'),</v>
      </c>
    </row>
    <row r="99" spans="1:9">
      <c r="A99" s="2">
        <v>113</v>
      </c>
      <c r="B99" s="9" t="s">
        <v>448</v>
      </c>
      <c r="C99" s="9" t="s">
        <v>449</v>
      </c>
      <c r="D99" s="9" t="s">
        <v>1680</v>
      </c>
      <c r="E99" s="9" t="s">
        <v>99</v>
      </c>
      <c r="F99" s="9">
        <v>971343321</v>
      </c>
      <c r="G99" s="12">
        <v>21862344</v>
      </c>
      <c r="H99" s="9" t="s">
        <v>1722</v>
      </c>
      <c r="I99" t="str">
        <f t="shared" si="1"/>
        <v>('HERRERA VILLA JORGE LUIS','PSJ. PRIMAVERA 100 LT 21 - CRUZ BLANCA','CHINCHA ALTA','ZONA: CRUZ BLANCA CAMPO','971343321','21862344','F1'),</v>
      </c>
    </row>
    <row r="100" spans="1:9">
      <c r="A100" s="2">
        <v>114</v>
      </c>
      <c r="B100" s="9" t="s">
        <v>1107</v>
      </c>
      <c r="C100" s="9" t="s">
        <v>1108</v>
      </c>
      <c r="D100" s="9" t="s">
        <v>1680</v>
      </c>
      <c r="E100" s="9" t="s">
        <v>19</v>
      </c>
      <c r="F100" s="9">
        <v>912707222</v>
      </c>
      <c r="G100" s="12">
        <v>21862542</v>
      </c>
      <c r="H100" s="9" t="s">
        <v>1722</v>
      </c>
      <c r="I100" t="str">
        <f t="shared" si="1"/>
        <v>('YATACO GARCIA DE GARCIA NELLY','PSJ. SAN JUAN DE DIOS MZ.-10 LT. 04 - CRUZ BLANCA - CHINCHA','CHINCHA ALTA','ZONA: CRUZ BLANCA PARTE ALTA oruro','912707222','21862542','F1'),</v>
      </c>
    </row>
    <row r="101" spans="1:9">
      <c r="A101" s="2">
        <v>115</v>
      </c>
      <c r="B101" s="9" t="s">
        <v>42</v>
      </c>
      <c r="C101" s="9" t="s">
        <v>43</v>
      </c>
      <c r="D101" s="9" t="s">
        <v>1680</v>
      </c>
      <c r="E101" s="9" t="s">
        <v>27</v>
      </c>
      <c r="F101" s="9">
        <v>966242063</v>
      </c>
      <c r="G101" s="12">
        <v>21862703</v>
      </c>
      <c r="H101" s="9" t="s">
        <v>1722</v>
      </c>
      <c r="I101" t="str">
        <f t="shared" si="1"/>
        <v>('GARCIA CARBAJAL MILAGRO MELCHORA','barrio el tigre 280 av los proceres chincha','CHINCHA ALTA','ZONA: CRUZ BLANCA PARTE BAJA','966242063','21862703','F1'),</v>
      </c>
    </row>
    <row r="102" spans="1:9">
      <c r="A102" s="2">
        <v>116</v>
      </c>
      <c r="B102" s="9" t="s">
        <v>780</v>
      </c>
      <c r="C102" s="9" t="s">
        <v>781</v>
      </c>
      <c r="D102" s="9" t="s">
        <v>1680</v>
      </c>
      <c r="E102" s="9" t="s">
        <v>126</v>
      </c>
      <c r="F102" s="9" t="s">
        <v>782</v>
      </c>
      <c r="G102" s="12">
        <v>21863308</v>
      </c>
      <c r="H102" s="9" t="s">
        <v>1722</v>
      </c>
      <c r="I102" t="str">
        <f t="shared" si="1"/>
        <v>('CASAS ANTON MARIA JESUS','AA.HH. VIRGEN DEL CARMEN MZ B LT 09 - CRUZ BLANCA','CHINCHA ALTA','ZONA: CRUZ BLANCA VIRGEN CARMEN','934 499 161','21863308','F1'),</v>
      </c>
    </row>
    <row r="103" spans="1:9">
      <c r="A103" s="2">
        <v>117</v>
      </c>
      <c r="B103" s="9" t="s">
        <v>603</v>
      </c>
      <c r="C103" s="9" t="s">
        <v>604</v>
      </c>
      <c r="D103" s="9" t="s">
        <v>1679</v>
      </c>
      <c r="E103" s="9" t="s">
        <v>5</v>
      </c>
      <c r="F103" s="9">
        <v>947265609</v>
      </c>
      <c r="G103" s="12">
        <v>21863667</v>
      </c>
      <c r="H103" s="9" t="s">
        <v>1722</v>
      </c>
      <c r="I103" t="str">
        <f t="shared" si="1"/>
        <v>('GONZALES PEÑA MARIA ESTHER','CL. SAN IGNACIO MZ.  I1 LT. 04 - SUNAMPE','SUNAMPE','ZONA: SUNAMPE – SANTA ROSA','947265609','21863667','F1'),</v>
      </c>
    </row>
    <row r="104" spans="1:9">
      <c r="A104" s="2">
        <v>118</v>
      </c>
      <c r="B104" s="9" t="s">
        <v>1199</v>
      </c>
      <c r="C104" s="9" t="s">
        <v>1200</v>
      </c>
      <c r="D104" s="9" t="s">
        <v>1680</v>
      </c>
      <c r="E104" s="9" t="s">
        <v>126</v>
      </c>
      <c r="F104" s="9">
        <v>922261999</v>
      </c>
      <c r="G104" s="12">
        <v>21863844</v>
      </c>
      <c r="H104" s="9" t="s">
        <v>1722</v>
      </c>
      <c r="I104" t="str">
        <f t="shared" si="1"/>
        <v>('LEVANO TORRES VICTOR MANUEL','CL. SANTA ANGELA Nª 805 - CRUZ BLANCA - CHINCHA ALTA','CHINCHA ALTA','ZONA: CRUZ BLANCA VIRGEN CARMEN','922261999','21863844','F1'),</v>
      </c>
    </row>
    <row r="105" spans="1:9">
      <c r="A105" s="2">
        <v>120</v>
      </c>
      <c r="B105" s="9" t="s">
        <v>539</v>
      </c>
      <c r="C105" s="9" t="s">
        <v>540</v>
      </c>
      <c r="D105" s="9" t="s">
        <v>1680</v>
      </c>
      <c r="E105" s="9" t="s">
        <v>99</v>
      </c>
      <c r="F105" s="9">
        <v>920314089</v>
      </c>
      <c r="G105" s="12">
        <v>21864746</v>
      </c>
      <c r="H105" s="9" t="s">
        <v>1722</v>
      </c>
      <c r="I105" t="str">
        <f t="shared" si="1"/>
        <v>('YATACO HERRERA LUIS EDUARDO','Psj. Primavera - Cruz blanca','CHINCHA ALTA','ZONA: CRUZ BLANCA CAMPO','920314089','21864746','F1'),</v>
      </c>
    </row>
    <row r="106" spans="1:9">
      <c r="A106" s="2">
        <v>121</v>
      </c>
      <c r="B106" s="9" t="s">
        <v>259</v>
      </c>
      <c r="C106" s="9" t="s">
        <v>260</v>
      </c>
      <c r="D106" s="9" t="s">
        <v>1679</v>
      </c>
      <c r="E106" s="9" t="s">
        <v>8</v>
      </c>
      <c r="F106" s="9">
        <v>945842114</v>
      </c>
      <c r="G106" s="12">
        <v>21866009</v>
      </c>
      <c r="H106" s="9" t="s">
        <v>1722</v>
      </c>
      <c r="I106" t="str">
        <f t="shared" si="1"/>
        <v>('ARIAS ARENAS MARTHA MARIA','AV. PROCERES N° 101 - SUNAMPE','SUNAMPE','ZONA: SUNAMPE – COLEGIO','945842114','21866009','F1'),</v>
      </c>
    </row>
    <row r="107" spans="1:9">
      <c r="A107" s="2">
        <v>122</v>
      </c>
      <c r="B107" s="9" t="s">
        <v>129</v>
      </c>
      <c r="C107" s="9" t="s">
        <v>130</v>
      </c>
      <c r="D107" s="9" t="s">
        <v>1679</v>
      </c>
      <c r="E107" s="9" t="s">
        <v>8</v>
      </c>
      <c r="F107" s="9">
        <v>953309019</v>
      </c>
      <c r="G107" s="12">
        <v>21866012</v>
      </c>
      <c r="H107" s="9" t="s">
        <v>1722</v>
      </c>
      <c r="I107" t="str">
        <f t="shared" si="1"/>
        <v>('CHAVEZ ALMEYDA CAROLINA','PSJ. EL CARMEN MZ D LT 11 ( AL COST. DEL COLEGIO)','SUNAMPE','ZONA: SUNAMPE – COLEGIO','953309019','21866012','F1'),</v>
      </c>
    </row>
    <row r="108" spans="1:9">
      <c r="A108" s="2">
        <v>123</v>
      </c>
      <c r="B108" s="9" t="s">
        <v>118</v>
      </c>
      <c r="C108" s="9" t="s">
        <v>119</v>
      </c>
      <c r="D108" s="9" t="s">
        <v>1679</v>
      </c>
      <c r="E108" s="9" t="s">
        <v>36</v>
      </c>
      <c r="F108" s="9">
        <v>965808498</v>
      </c>
      <c r="G108" s="12">
        <v>21866027</v>
      </c>
      <c r="H108" s="9" t="s">
        <v>1722</v>
      </c>
      <c r="I108" t="str">
        <f t="shared" si="1"/>
        <v>('BELLEZA CARPIO VDA DE AROSTEGUI MARIBEL VIOLETA','AV.PARAISO CASA DE 2 PISOS AZUL - Sunampe','SUNAMPE','ZONA: SUNAMPE – PARAISO','965808498','21866027','F1'),</v>
      </c>
    </row>
    <row r="109" spans="1:9">
      <c r="A109" s="2">
        <v>124</v>
      </c>
      <c r="B109" s="9" t="s">
        <v>1191</v>
      </c>
      <c r="C109" s="9" t="s">
        <v>1192</v>
      </c>
      <c r="D109" s="9" t="s">
        <v>1679</v>
      </c>
      <c r="E109" s="9" t="s">
        <v>22</v>
      </c>
      <c r="F109" s="9" t="s">
        <v>1193</v>
      </c>
      <c r="G109" s="12">
        <v>21866147</v>
      </c>
      <c r="H109" s="9" t="s">
        <v>1722</v>
      </c>
      <c r="I109" t="str">
        <f t="shared" si="1"/>
        <v>('MENDIGUETE LOYOLA MARIA JULIA','PSJE SAN VICENTE M-P LT-16 - SAN P. PILPA - SUNAMPE','SUNAMPE','ZONA: SUNAMPE – SAN PILPA','962 402 706','21866147','F1'),</v>
      </c>
    </row>
    <row r="110" spans="1:9">
      <c r="A110" s="2">
        <v>125</v>
      </c>
      <c r="B110" s="9" t="s">
        <v>1152</v>
      </c>
      <c r="C110" s="9" t="s">
        <v>1153</v>
      </c>
      <c r="D110" s="9" t="s">
        <v>1682</v>
      </c>
      <c r="E110" s="9" t="s">
        <v>1106</v>
      </c>
      <c r="F110" s="9">
        <v>947929771</v>
      </c>
      <c r="G110" s="12">
        <v>21866254</v>
      </c>
      <c r="H110" s="9" t="s">
        <v>1722</v>
      </c>
      <c r="I110" t="str">
        <f t="shared" si="1"/>
        <v>('GARCIA MARTINEZ CECILIA PATRICIA','URB. LOS VIÑEDOS MZ. U2 - LT. 12 - CHINCHA ALTA','PUEBLO NUEVO','ZONA: PUEBLO - TECHO PROPIO','947929771','21866254','F1'),</v>
      </c>
    </row>
    <row r="111" spans="1:9">
      <c r="A111" s="2">
        <v>126</v>
      </c>
      <c r="B111" s="9" t="s">
        <v>403</v>
      </c>
      <c r="C111" s="9" t="s">
        <v>404</v>
      </c>
      <c r="D111" s="9" t="s">
        <v>1680</v>
      </c>
      <c r="E111" s="9" t="s">
        <v>90</v>
      </c>
      <c r="F111" s="9">
        <v>902073805</v>
      </c>
      <c r="G111" s="12">
        <v>21866433</v>
      </c>
      <c r="H111" s="9" t="s">
        <v>1733</v>
      </c>
      <c r="I111" t="str">
        <f t="shared" si="1"/>
        <v>('CHUQUISPUMA PEVE FLOR MARLENE','Condorillo alto mz. L lt. 5','CHINCHA ALTA','ZONA: CONDORILLO PARTE ALTA','902073805','21866433','F2'),</v>
      </c>
    </row>
    <row r="112" spans="1:9">
      <c r="A112" s="2">
        <v>127</v>
      </c>
      <c r="B112" s="9" t="s">
        <v>1433</v>
      </c>
      <c r="C112" s="9" t="s">
        <v>1434</v>
      </c>
      <c r="D112" s="9" t="s">
        <v>1682</v>
      </c>
      <c r="E112" s="9" t="s">
        <v>846</v>
      </c>
      <c r="F112" s="9">
        <v>951506348</v>
      </c>
      <c r="G112" s="12">
        <v>21866464</v>
      </c>
      <c r="H112" s="9" t="s">
        <v>1733</v>
      </c>
      <c r="I112" t="str">
        <f t="shared" si="1"/>
        <v>('JESSICA MARGARITA FLORES LA ROSA','AA. HH. EL SALVADOR MZ. I - PUERTA 11 - PUEBLO NUEVO','PUEBLO NUEVO','ZONA: PUEBLO - SALVADOR','951506348','21866464','F2'),</v>
      </c>
    </row>
    <row r="113" spans="1:9">
      <c r="A113" s="2">
        <v>128</v>
      </c>
      <c r="B113" s="9" t="s">
        <v>1585</v>
      </c>
      <c r="C113" s="9" t="s">
        <v>1586</v>
      </c>
      <c r="D113" s="9" t="s">
        <v>1680</v>
      </c>
      <c r="E113" s="9" t="s">
        <v>1725</v>
      </c>
      <c r="F113" s="9" t="s">
        <v>1587</v>
      </c>
      <c r="G113" s="12">
        <v>21866885</v>
      </c>
      <c r="H113" s="9" t="s">
        <v>1733</v>
      </c>
      <c r="I113" t="str">
        <f t="shared" si="1"/>
        <v>('HUAMAN RAMOS CIRO','UPIS  SAN LUIS MZ. E LT. 05 - CHINCHA','CHINCHA ALTA','No especificado','934 695 614','21866885','F2'),</v>
      </c>
    </row>
    <row r="114" spans="1:9">
      <c r="A114" s="2">
        <v>129</v>
      </c>
      <c r="B114" s="9" t="s">
        <v>760</v>
      </c>
      <c r="C114" s="9" t="s">
        <v>761</v>
      </c>
      <c r="D114" s="9" t="s">
        <v>1679</v>
      </c>
      <c r="E114" s="9" t="s">
        <v>718</v>
      </c>
      <c r="F114" s="9" t="s">
        <v>762</v>
      </c>
      <c r="G114" s="12">
        <v>21867380</v>
      </c>
      <c r="H114" s="9" t="s">
        <v>1722</v>
      </c>
      <c r="I114" t="str">
        <f t="shared" si="1"/>
        <v>('AVALOS MENDOZA MARIA DEL ROSARIO','CALLE JORGE CHAVEZ MZ C LT 17, CHACARITA - SUNAMPE','SUNAMPE','ZONA: SUNAMPE – CHACARITA','945 695 618','21867380','F1'),</v>
      </c>
    </row>
    <row r="115" spans="1:9">
      <c r="A115" s="2">
        <v>130</v>
      </c>
      <c r="B115" s="9" t="s">
        <v>668</v>
      </c>
      <c r="C115" s="9" t="s">
        <v>669</v>
      </c>
      <c r="D115" s="9" t="s">
        <v>1680</v>
      </c>
      <c r="E115" s="9" t="s">
        <v>126</v>
      </c>
      <c r="F115" s="9">
        <v>956615324</v>
      </c>
      <c r="G115" s="12">
        <v>21867558</v>
      </c>
      <c r="H115" s="9" t="s">
        <v>1722</v>
      </c>
      <c r="I115" t="str">
        <f t="shared" si="1"/>
        <v>('YATACO MAGALLANES JORGE','AA.HH. VIRGEN DEL CARMEN MZ. L LT. 26- Cruz Blanca','CHINCHA ALTA','ZONA: CRUZ BLANCA VIRGEN CARMEN','956615324','21867558','F1'),</v>
      </c>
    </row>
    <row r="116" spans="1:9">
      <c r="A116" s="2">
        <v>131</v>
      </c>
      <c r="B116" s="9" t="s">
        <v>1159</v>
      </c>
      <c r="C116" s="9" t="s">
        <v>1160</v>
      </c>
      <c r="D116" s="9" t="s">
        <v>1680</v>
      </c>
      <c r="E116" s="9" t="s">
        <v>710</v>
      </c>
      <c r="F116" s="9">
        <v>955446960</v>
      </c>
      <c r="G116" s="12">
        <v>21867629</v>
      </c>
      <c r="H116" s="9" t="s">
        <v>1722</v>
      </c>
      <c r="I116" t="str">
        <f t="shared" si="1"/>
        <v>('LEVANO TORRES MARITZA','PSJ. LOS CLAVELES Nª 207 - CRUZ BLANCA - CHINCHA','CHINCHA ALTA','ZONA: CHINCHA - AMERICA','955446960','21867629','F1'),</v>
      </c>
    </row>
    <row r="117" spans="1:9">
      <c r="A117" s="2">
        <v>133</v>
      </c>
      <c r="B117" s="9" t="s">
        <v>222</v>
      </c>
      <c r="C117" s="9" t="s">
        <v>223</v>
      </c>
      <c r="D117" s="9" t="s">
        <v>1680</v>
      </c>
      <c r="E117" s="9" t="s">
        <v>19</v>
      </c>
      <c r="F117" s="9">
        <v>957727000</v>
      </c>
      <c r="G117" s="12">
        <v>21868131</v>
      </c>
      <c r="H117" s="9" t="s">
        <v>1722</v>
      </c>
      <c r="I117" t="str">
        <f t="shared" si="1"/>
        <v>('MARCOS YATACO PILAR NELLY','CRUZ BLANCA ENTRADA CONDORILLO','CHINCHA ALTA','ZONA: CRUZ BLANCA PARTE ALTA oruro','957727000','21868131','F1'),</v>
      </c>
    </row>
    <row r="118" spans="1:9">
      <c r="A118" s="2">
        <v>134</v>
      </c>
      <c r="B118" s="9" t="s">
        <v>1632</v>
      </c>
      <c r="C118" s="9" t="s">
        <v>1633</v>
      </c>
      <c r="D118" s="9" t="s">
        <v>1683</v>
      </c>
      <c r="E118" s="9" t="s">
        <v>1627</v>
      </c>
      <c r="F118" s="9">
        <v>936619041</v>
      </c>
      <c r="G118" s="12">
        <v>21868165</v>
      </c>
      <c r="H118" s="9" t="s">
        <v>1733</v>
      </c>
      <c r="I118" t="str">
        <f t="shared" si="1"/>
        <v>('CARDENAS PEÑA SARA ESTHER','Vilma león Mz L lote 23 Tambo de Mora','TAMBO DE MORA','Zona: Tambo de Mora 1','936619041','21868165','F2'),</v>
      </c>
    </row>
    <row r="119" spans="1:9">
      <c r="A119" s="2">
        <v>137</v>
      </c>
      <c r="B119" s="9" t="s">
        <v>1391</v>
      </c>
      <c r="C119" s="9" t="s">
        <v>1392</v>
      </c>
      <c r="D119" s="9" t="s">
        <v>1680</v>
      </c>
      <c r="E119" s="9" t="s">
        <v>126</v>
      </c>
      <c r="F119" s="9">
        <v>927899682</v>
      </c>
      <c r="G119" s="12">
        <v>21868436</v>
      </c>
      <c r="H119" s="9" t="s">
        <v>1722</v>
      </c>
      <c r="I119" t="str">
        <f t="shared" si="1"/>
        <v>('SAUL GARCIA CASTILLA','ALVA MAURTUA S/N CRUZ BLANCA','CHINCHA ALTA','ZONA: CRUZ BLANCA VIRGEN CARMEN','927899682','21868436','F1'),</v>
      </c>
    </row>
    <row r="120" spans="1:9">
      <c r="A120" s="2">
        <v>138</v>
      </c>
      <c r="B120" s="9" t="s">
        <v>967</v>
      </c>
      <c r="C120" s="9" t="s">
        <v>968</v>
      </c>
      <c r="D120" s="9" t="s">
        <v>1680</v>
      </c>
      <c r="E120" s="9" t="s">
        <v>90</v>
      </c>
      <c r="F120" s="9" t="s">
        <v>969</v>
      </c>
      <c r="G120" s="12">
        <v>21868569</v>
      </c>
      <c r="H120" s="9" t="s">
        <v>1722</v>
      </c>
      <c r="I120" t="str">
        <f t="shared" si="1"/>
        <v>('GUTIERREZ QUISPE SOFIA EDITH','C.P CONDORILLO ALTO MZ. A - LT. 05, CONDORILLO ALTO - CHINCHA ALTA','CHINCHA ALTA','ZONA: CONDORILLO PARTE ALTA','941 026 194','21868569','F1'),</v>
      </c>
    </row>
    <row r="121" spans="1:9">
      <c r="A121" s="2">
        <v>139</v>
      </c>
      <c r="B121" s="9" t="s">
        <v>648</v>
      </c>
      <c r="C121" s="9" t="s">
        <v>649</v>
      </c>
      <c r="D121" s="9" t="s">
        <v>1679</v>
      </c>
      <c r="E121" s="9" t="s">
        <v>106</v>
      </c>
      <c r="F121" s="9">
        <v>950008220</v>
      </c>
      <c r="G121" s="12">
        <v>21868987</v>
      </c>
      <c r="H121" s="9" t="s">
        <v>1722</v>
      </c>
      <c r="I121" t="str">
        <f t="shared" si="1"/>
        <v>('YATACO GONZALES ROSA ESTHER','PSJ. JASMIN S/N, MINA DE ORO - SUNAMPE','SUNAMPE','ZONA: SUNAMPE - MINA DE ORO','950008220','21868987','F1'),</v>
      </c>
    </row>
    <row r="122" spans="1:9">
      <c r="A122" s="2">
        <v>140</v>
      </c>
      <c r="B122" s="9" t="s">
        <v>210</v>
      </c>
      <c r="C122" s="9" t="s">
        <v>211</v>
      </c>
      <c r="D122" s="9" t="s">
        <v>1680</v>
      </c>
      <c r="E122" s="9" t="s">
        <v>19</v>
      </c>
      <c r="F122" s="9">
        <v>947821195</v>
      </c>
      <c r="G122" s="12">
        <v>21869218</v>
      </c>
      <c r="H122" s="9" t="s">
        <v>1722</v>
      </c>
      <c r="I122" t="str">
        <f t="shared" si="1"/>
        <v>('VASQUEZ MARTINEZ LUIS ALBERTO','CRUZ BLANCA PSJ TUPAC AMARU ENTRADA CONDORILLO','CHINCHA ALTA','ZONA: CRUZ BLANCA PARTE ALTA oruro','947821195','21869218','F1'),</v>
      </c>
    </row>
    <row r="123" spans="1:9">
      <c r="A123" s="2">
        <v>141</v>
      </c>
      <c r="B123" s="9" t="s">
        <v>1206</v>
      </c>
      <c r="C123" s="9" t="s">
        <v>1207</v>
      </c>
      <c r="D123" s="9" t="s">
        <v>1679</v>
      </c>
      <c r="E123" s="9" t="s">
        <v>106</v>
      </c>
      <c r="F123" s="9" t="s">
        <v>1208</v>
      </c>
      <c r="G123" s="12">
        <v>21869367</v>
      </c>
      <c r="H123" s="9" t="s">
        <v>1722</v>
      </c>
      <c r="I123" t="str">
        <f t="shared" si="1"/>
        <v>('LEGUA GIRAO ANA CECILIA','AA. HH. EL MILAGRO SAN JUDAS TADEO - MZ E LOTE 6 - MINA DE ORO - SUNAMPE','SUNAMPE','ZONA: SUNAMPE - MINA DE ORO','983 512 122','21869367','F1'),</v>
      </c>
    </row>
    <row r="124" spans="1:9">
      <c r="A124" s="2">
        <v>142</v>
      </c>
      <c r="B124" s="9" t="s">
        <v>67</v>
      </c>
      <c r="C124" s="9" t="s">
        <v>68</v>
      </c>
      <c r="D124" s="9" t="s">
        <v>1680</v>
      </c>
      <c r="E124" s="9" t="s">
        <v>27</v>
      </c>
      <c r="F124" s="9">
        <v>975537912</v>
      </c>
      <c r="G124" s="12">
        <v>21869687</v>
      </c>
      <c r="H124" s="9" t="s">
        <v>1722</v>
      </c>
      <c r="I124" t="str">
        <f t="shared" si="1"/>
        <v>('SARAVIA BENDEZU LUIS RICHARD','Toma de cala Cruz blanca -. Virgen de carmen','CHINCHA ALTA','ZONA: CRUZ BLANCA PARTE BAJA','975537912','21869687','F1'),</v>
      </c>
    </row>
    <row r="125" spans="1:9">
      <c r="A125" s="2">
        <v>143</v>
      </c>
      <c r="B125" s="9" t="s">
        <v>12</v>
      </c>
      <c r="C125" s="9" t="s">
        <v>13</v>
      </c>
      <c r="D125" s="9" t="s">
        <v>1679</v>
      </c>
      <c r="E125" s="9" t="s">
        <v>14</v>
      </c>
      <c r="F125" s="9">
        <v>925019236</v>
      </c>
      <c r="G125" s="12">
        <v>21869870</v>
      </c>
      <c r="H125" s="9" t="s">
        <v>1722</v>
      </c>
      <c r="I125" t="str">
        <f t="shared" si="1"/>
        <v>('BEGAZO PEÑALOZA MILAGROS LUCIA','Psj. San Cristobal 360   - Villa Julia','SUNAMPE','ZONA: SUNAMPE – VILLA JULIA','925019236','21869870','F1'),</v>
      </c>
    </row>
    <row r="126" spans="1:9">
      <c r="A126" s="2">
        <v>144</v>
      </c>
      <c r="B126" s="9" t="s">
        <v>1271</v>
      </c>
      <c r="C126" s="9" t="s">
        <v>1272</v>
      </c>
      <c r="D126" s="9" t="s">
        <v>1680</v>
      </c>
      <c r="E126" s="9" t="s">
        <v>126</v>
      </c>
      <c r="F126" s="9">
        <v>933396531</v>
      </c>
      <c r="G126" s="12">
        <v>21869888</v>
      </c>
      <c r="H126" s="9" t="s">
        <v>1733</v>
      </c>
      <c r="I126" t="str">
        <f t="shared" si="1"/>
        <v>('TASAYCO HUAROTE MARIA ELENA','AV. ARENALES, PSJ PALMERAS S/N - CRUZ BLANCA - CHINCHA ALTA','CHINCHA ALTA','ZONA: CRUZ BLANCA VIRGEN CARMEN','933396531','21869888','F2'),</v>
      </c>
    </row>
    <row r="127" spans="1:9">
      <c r="A127" s="2">
        <v>145</v>
      </c>
      <c r="B127" s="9" t="s">
        <v>666</v>
      </c>
      <c r="C127" s="9" t="s">
        <v>667</v>
      </c>
      <c r="D127" s="9" t="s">
        <v>1679</v>
      </c>
      <c r="E127" s="9" t="s">
        <v>135</v>
      </c>
      <c r="F127" s="9">
        <v>960295992</v>
      </c>
      <c r="G127" s="12">
        <v>21869970</v>
      </c>
      <c r="H127" s="9" t="s">
        <v>1722</v>
      </c>
      <c r="I127" t="str">
        <f t="shared" si="1"/>
        <v>('SALVADOR ABURTO ANA MARIA','PSJE SAN PEDRO Nª PUERTA 11 SIN BARRIO C.P. HUACA GRANDE- SUNAMPE','SUNAMPE','ZONA: SUNAMPE – HUACA GRANDE','960295992','21869970','F1'),</v>
      </c>
    </row>
    <row r="128" spans="1:9">
      <c r="A128" s="2">
        <v>146</v>
      </c>
      <c r="B128" s="9" t="s">
        <v>309</v>
      </c>
      <c r="C128" s="9" t="s">
        <v>310</v>
      </c>
      <c r="D128" s="9" t="s">
        <v>1679</v>
      </c>
      <c r="E128" s="9" t="s">
        <v>2</v>
      </c>
      <c r="F128" s="9">
        <v>955928615</v>
      </c>
      <c r="G128" s="12">
        <v>21870467</v>
      </c>
      <c r="H128" s="9" t="s">
        <v>1722</v>
      </c>
      <c r="I128" t="str">
        <f t="shared" si="1"/>
        <v>('ROJAS TELLO YULIANA ELENA','Calle nueva San Ignacio sunampe','SUNAMPE','ZONA: SUNAMPE – SAN IGNACIO','955928615','21870467','F1'),</v>
      </c>
    </row>
    <row r="129" spans="1:9">
      <c r="A129" s="2">
        <v>151</v>
      </c>
      <c r="B129" s="9" t="s">
        <v>1048</v>
      </c>
      <c r="C129" s="9" t="s">
        <v>1049</v>
      </c>
      <c r="D129" s="9" t="s">
        <v>1681</v>
      </c>
      <c r="E129" s="9" t="s">
        <v>1050</v>
      </c>
      <c r="F129" s="9" t="s">
        <v>1051</v>
      </c>
      <c r="G129" s="12">
        <v>21873544</v>
      </c>
      <c r="H129" s="9" t="s">
        <v>1722</v>
      </c>
      <c r="I129" t="str">
        <f t="shared" si="1"/>
        <v>('CASTILLA RIQUELME ALEXANDER','CL BENAVIDES LT 11 - BARRIO EL PORVENIR - GROCIO PRADO','GROCIO PRADO','ZONA: GROCIO - BOTELLEROS','952 683 121','21873544','F1'),</v>
      </c>
    </row>
    <row r="130" spans="1:9">
      <c r="A130" s="2">
        <v>152</v>
      </c>
      <c r="B130" s="9" t="s">
        <v>628</v>
      </c>
      <c r="C130" s="9" t="s">
        <v>629</v>
      </c>
      <c r="D130" s="9" t="s">
        <v>1679</v>
      </c>
      <c r="E130" s="9" t="s">
        <v>596</v>
      </c>
      <c r="F130" s="9">
        <v>956682879</v>
      </c>
      <c r="G130" s="12">
        <v>21873605</v>
      </c>
      <c r="H130" s="9" t="s">
        <v>1733</v>
      </c>
      <c r="I130" t="str">
        <f t="shared" si="1"/>
        <v>('SOLARI MAGALLANES JULIO CESAR','Calle santa Rosa 153 sunampe chincha','SUNAMPE','ZONA: SUNAMPE – CALLE LIMA','956682879','21873605','F2'),</v>
      </c>
    </row>
    <row r="131" spans="1:9">
      <c r="A131" s="2">
        <v>153</v>
      </c>
      <c r="B131" s="9" t="s">
        <v>970</v>
      </c>
      <c r="C131" s="9" t="s">
        <v>971</v>
      </c>
      <c r="D131" s="9" t="s">
        <v>1679</v>
      </c>
      <c r="E131" s="9" t="s">
        <v>135</v>
      </c>
      <c r="F131" s="9">
        <v>954952739</v>
      </c>
      <c r="G131" s="12">
        <v>21873647</v>
      </c>
      <c r="H131" s="9" t="s">
        <v>1722</v>
      </c>
      <c r="I131" t="str">
        <f t="shared" ref="I131:I194" si="2">"('"&amp;B131&amp;"','"&amp;C131&amp;"','"&amp;D131&amp;"','"&amp;E131&amp;"','"&amp;F131&amp;"','"&amp;G131&amp;"','"&amp;H131&amp;"'),"</f>
        <v>('RAMIREZ TASAYCO OSWALDO','PSJ. PASO DE GOMEZ N° 104 - SUNAMPE','SUNAMPE','ZONA: SUNAMPE – HUACA GRANDE','954952739','21873647','F1'),</v>
      </c>
    </row>
    <row r="132" spans="1:9">
      <c r="A132" s="2">
        <v>154</v>
      </c>
      <c r="B132" s="9" t="s">
        <v>1645</v>
      </c>
      <c r="C132" s="9" t="s">
        <v>1646</v>
      </c>
      <c r="D132" s="9" t="s">
        <v>1679</v>
      </c>
      <c r="E132" s="9" t="s">
        <v>1642</v>
      </c>
      <c r="F132" s="9">
        <v>977905532</v>
      </c>
      <c r="G132" s="12">
        <v>21873717</v>
      </c>
      <c r="H132" s="9" t="s">
        <v>1733</v>
      </c>
      <c r="I132" t="str">
        <f t="shared" si="2"/>
        <v>('ALMEYDA JACOBO CARLOS ALBERTO','Av. la alameda 208 - Sunampe','SUNAMPE','Zona: Sunampe','977905532','21873717','F2'),</v>
      </c>
    </row>
    <row r="133" spans="1:9">
      <c r="A133" s="2">
        <v>156</v>
      </c>
      <c r="B133" s="9" t="s">
        <v>300</v>
      </c>
      <c r="C133" s="9" t="s">
        <v>301</v>
      </c>
      <c r="D133" s="9" t="s">
        <v>1679</v>
      </c>
      <c r="E133" s="9" t="s">
        <v>36</v>
      </c>
      <c r="F133" s="9">
        <v>956894087</v>
      </c>
      <c r="G133" s="12">
        <v>21873759</v>
      </c>
      <c r="H133" s="9" t="s">
        <v>1733</v>
      </c>
      <c r="I133" t="str">
        <f t="shared" si="2"/>
        <v>('MATIAS PEÑALOZA JUAN CARLOS','Av. Paraiso Mz. W Lt. 08 - Lomo Largo','SUNAMPE','ZONA: SUNAMPE – PARAISO','956894087','21873759','F2'),</v>
      </c>
    </row>
    <row r="134" spans="1:9">
      <c r="A134" s="2">
        <v>157</v>
      </c>
      <c r="B134" s="9" t="s">
        <v>1241</v>
      </c>
      <c r="C134" s="9" t="s">
        <v>1242</v>
      </c>
      <c r="D134" s="9" t="s">
        <v>1679</v>
      </c>
      <c r="E134" s="9" t="s">
        <v>22</v>
      </c>
      <c r="F134" s="9">
        <v>924542254</v>
      </c>
      <c r="G134" s="12">
        <v>21874178</v>
      </c>
      <c r="H134" s="9" t="s">
        <v>1722</v>
      </c>
      <c r="I134" t="str">
        <f t="shared" si="2"/>
        <v>('CESAR ALBINO MENDIGUETE','BARRIO PARADA DE LOS AMIGOS S/N CASERIO SAN PEDRO DE PILPA','SUNAMPE','ZONA: SUNAMPE – SAN PILPA','924542254','21874178','F1'),</v>
      </c>
    </row>
    <row r="135" spans="1:9">
      <c r="A135" s="2">
        <v>158</v>
      </c>
      <c r="B135" s="9" t="s">
        <v>1697</v>
      </c>
      <c r="C135" s="9" t="s">
        <v>1593</v>
      </c>
      <c r="D135" s="9" t="s">
        <v>1680</v>
      </c>
      <c r="E135" s="9" t="s">
        <v>1594</v>
      </c>
      <c r="F135" s="9">
        <v>970705100</v>
      </c>
      <c r="G135" s="12">
        <v>21874409</v>
      </c>
      <c r="H135" s="9" t="s">
        <v>1733</v>
      </c>
      <c r="I135" t="str">
        <f t="shared" si="2"/>
        <v>('NAPA ROJAS MIRIAM LUZ','pasaje la florida 116 chincha alta costado del Olivar por el hospital san jose','CHINCHA ALTA','Zona: Chincha','970705100','21874409','F2'),</v>
      </c>
    </row>
    <row r="136" spans="1:9">
      <c r="A136" s="2">
        <v>159</v>
      </c>
      <c r="B136" s="9" t="s">
        <v>936</v>
      </c>
      <c r="C136" s="9" t="s">
        <v>937</v>
      </c>
      <c r="D136" s="9" t="s">
        <v>1680</v>
      </c>
      <c r="E136" s="9" t="s">
        <v>710</v>
      </c>
      <c r="F136" s="9" t="s">
        <v>938</v>
      </c>
      <c r="G136" s="12">
        <v>21875575</v>
      </c>
      <c r="H136" s="9" t="s">
        <v>1722</v>
      </c>
      <c r="I136" t="str">
        <f t="shared" si="2"/>
        <v>('GONZALES ATUNCAR CARLOS JOSE','PSJ LEVANO - LAS BEGONIAS N° A-02, DOS PUENTES - CHINCHA ALTA','CHINCHA ALTA','ZONA: CHINCHA - AMERICA','937 650 700','21875575','F1'),</v>
      </c>
    </row>
    <row r="137" spans="1:9">
      <c r="A137" s="2">
        <v>160</v>
      </c>
      <c r="B137" s="9" t="s">
        <v>1673</v>
      </c>
      <c r="C137" s="9" t="s">
        <v>1674</v>
      </c>
      <c r="D137" s="9" t="s">
        <v>1680</v>
      </c>
      <c r="E137" s="9" t="s">
        <v>1594</v>
      </c>
      <c r="F137" s="9">
        <v>930719756</v>
      </c>
      <c r="G137" s="12">
        <v>21875978</v>
      </c>
      <c r="H137" s="9" t="s">
        <v>1722</v>
      </c>
      <c r="I137" t="str">
        <f t="shared" si="2"/>
        <v>('ROSIO ROSAURA SIHUIN ECHEVARRIA','UPIS SAN AGUSTIN Nro. A-08  CHINCHA ALTA','CHINCHA ALTA','Zona: Chincha','930719756','21875978','F1'),</v>
      </c>
    </row>
    <row r="138" spans="1:9">
      <c r="A138" s="2">
        <v>161</v>
      </c>
      <c r="B138" s="9" t="s">
        <v>1099</v>
      </c>
      <c r="C138" s="9" t="s">
        <v>1100</v>
      </c>
      <c r="D138" s="9" t="s">
        <v>1680</v>
      </c>
      <c r="E138" s="9" t="s">
        <v>90</v>
      </c>
      <c r="F138" s="9" t="s">
        <v>1101</v>
      </c>
      <c r="G138" s="12">
        <v>21876020</v>
      </c>
      <c r="H138" s="9" t="s">
        <v>1733</v>
      </c>
      <c r="I138" t="str">
        <f t="shared" si="2"/>
        <v>('ALVAREZ CUEVA MARTIN WILLIAM','C.P. CONDORILLO ALTO MZ. T - LT. 24 - CHINCHA ALTA','CHINCHA ALTA','ZONA: CONDORILLO PARTE ALTA','964 347 449','21876020','F2'),</v>
      </c>
    </row>
    <row r="139" spans="1:9">
      <c r="A139" s="2">
        <v>163</v>
      </c>
      <c r="B139" s="9" t="s">
        <v>1397</v>
      </c>
      <c r="C139" s="9" t="s">
        <v>1398</v>
      </c>
      <c r="D139" s="9" t="s">
        <v>1680</v>
      </c>
      <c r="E139" s="9" t="s">
        <v>27</v>
      </c>
      <c r="F139" s="9">
        <v>942136159</v>
      </c>
      <c r="G139" s="12">
        <v>21876900</v>
      </c>
      <c r="H139" s="9" t="s">
        <v>1722</v>
      </c>
      <c r="I139" t="str">
        <f t="shared" si="2"/>
        <v>('WILBER GUERRA DE LA CRUZ','CL. LOS PROCERES NRO 01 - BARRIO EL TIGRE - CHINCHA ALTA','CHINCHA ALTA','ZONA: CRUZ BLANCA PARTE BAJA','942136159','21876900','F1'),</v>
      </c>
    </row>
    <row r="140" spans="1:9">
      <c r="A140" s="2">
        <v>164</v>
      </c>
      <c r="B140" s="9" t="s">
        <v>983</v>
      </c>
      <c r="C140" s="9" t="s">
        <v>984</v>
      </c>
      <c r="D140" s="9" t="s">
        <v>1680</v>
      </c>
      <c r="E140" s="9" t="s">
        <v>90</v>
      </c>
      <c r="F140" s="9">
        <v>933852105</v>
      </c>
      <c r="G140" s="12">
        <v>21877109</v>
      </c>
      <c r="H140" s="9" t="s">
        <v>1722</v>
      </c>
      <c r="I140" t="str">
        <f t="shared" si="2"/>
        <v>('SOLANO DE LA CRUZ MIGUEL','C.P. CONDORILLO ALTO MZ. Z LT. 24 - CHINCHA ALTA','CHINCHA ALTA','ZONA: CONDORILLO PARTE ALTA','933852105','21877109','F1'),</v>
      </c>
    </row>
    <row r="141" spans="1:9">
      <c r="A141" s="2">
        <v>165</v>
      </c>
      <c r="B141" s="9" t="s">
        <v>500</v>
      </c>
      <c r="C141" s="9" t="s">
        <v>501</v>
      </c>
      <c r="D141" s="9" t="s">
        <v>1679</v>
      </c>
      <c r="E141" s="9" t="s">
        <v>8</v>
      </c>
      <c r="F141" s="9">
        <v>977349625</v>
      </c>
      <c r="G141" s="12">
        <v>21877465</v>
      </c>
      <c r="H141" s="9" t="s">
        <v>1722</v>
      </c>
      <c r="I141" t="str">
        <f t="shared" si="2"/>
        <v>('OLIVERO TORRES GLORIA YSABEL','Av. Fatima Sunampe','SUNAMPE','ZONA: SUNAMPE – COLEGIO','977349625','21877465','F1'),</v>
      </c>
    </row>
    <row r="142" spans="1:9">
      <c r="A142" s="2">
        <v>166</v>
      </c>
      <c r="B142" s="9" t="s">
        <v>69</v>
      </c>
      <c r="C142" s="9" t="s">
        <v>70</v>
      </c>
      <c r="D142" s="9" t="s">
        <v>1679</v>
      </c>
      <c r="E142" s="9" t="s">
        <v>71</v>
      </c>
      <c r="F142" s="9">
        <v>956118797</v>
      </c>
      <c r="G142" s="12">
        <v>21877560</v>
      </c>
      <c r="H142" s="9" t="s">
        <v>1722</v>
      </c>
      <c r="I142" t="str">
        <f t="shared" si="2"/>
        <v>('CONTRERAS ENRIQUEZ CARLOS JAVIER','SANTA FE calle primavera lomo largo 441','SUNAMPE','ZONA: SUNAMPE – SANTA FE','956118797','21877560','F1'),</v>
      </c>
    </row>
    <row r="143" spans="1:9">
      <c r="A143" s="2">
        <v>167</v>
      </c>
      <c r="B143" s="9" t="s">
        <v>863</v>
      </c>
      <c r="C143" s="9" t="s">
        <v>864</v>
      </c>
      <c r="D143" s="9" t="s">
        <v>1680</v>
      </c>
      <c r="E143" s="9" t="s">
        <v>765</v>
      </c>
      <c r="F143" s="9" t="s">
        <v>865</v>
      </c>
      <c r="G143" s="12">
        <v>21878192</v>
      </c>
      <c r="H143" s="9" t="s">
        <v>1722</v>
      </c>
      <c r="I143" t="str">
        <f t="shared" si="2"/>
        <v>('FELIX MARCOS VERONICA GLORIA','AV. SANTA RITA S/N, PSJ. JABONCILLO - CONDORILLO BAJO - CHINCHA','CHINCHA ALTA','ZONA: CHINCHA - PROGRESO','965 691 720','21878192','F1'),</v>
      </c>
    </row>
    <row r="144" spans="1:9">
      <c r="A144" s="2">
        <v>168</v>
      </c>
      <c r="B144" s="9" t="s">
        <v>394</v>
      </c>
      <c r="C144" s="9" t="s">
        <v>395</v>
      </c>
      <c r="D144" s="9" t="s">
        <v>1680</v>
      </c>
      <c r="E144" s="9" t="s">
        <v>334</v>
      </c>
      <c r="F144" s="9">
        <v>924638884</v>
      </c>
      <c r="G144" s="12">
        <v>21878465</v>
      </c>
      <c r="H144" s="9" t="s">
        <v>1722</v>
      </c>
      <c r="I144" t="str">
        <f t="shared" si="2"/>
        <v>('LLIUYA PEVE JAVIER WILIAN','condorillo, frente a la base de condorillo','CHINCHA ALTA','ZONA: CONDORILLO PARTE BAJA','924638884','21878465','F1'),</v>
      </c>
    </row>
    <row r="145" spans="1:9">
      <c r="A145" s="2">
        <v>169</v>
      </c>
      <c r="B145" s="9" t="s">
        <v>40</v>
      </c>
      <c r="C145" s="9" t="s">
        <v>41</v>
      </c>
      <c r="D145" s="9" t="s">
        <v>1680</v>
      </c>
      <c r="E145" s="9" t="s">
        <v>19</v>
      </c>
      <c r="F145" s="9">
        <v>922427114</v>
      </c>
      <c r="G145" s="12">
        <v>21878769</v>
      </c>
      <c r="H145" s="9" t="s">
        <v>1722</v>
      </c>
      <c r="I145" t="str">
        <f t="shared" si="2"/>
        <v>('MAGALLANES ALMEYDA MARIA MIRTHA','AV. ALVA MAURTUA N° 580 - CRUZ BLANCA - CHINCHA ALTA','CHINCHA ALTA','ZONA: CRUZ BLANCA PARTE ALTA oruro','922427114','21878769','F1'),</v>
      </c>
    </row>
    <row r="146" spans="1:9">
      <c r="A146" s="2">
        <v>170</v>
      </c>
      <c r="B146" s="9" t="s">
        <v>1116</v>
      </c>
      <c r="C146" s="9" t="s">
        <v>1117</v>
      </c>
      <c r="D146" s="9" t="s">
        <v>1682</v>
      </c>
      <c r="E146" s="9" t="s">
        <v>1106</v>
      </c>
      <c r="F146" s="9">
        <v>956487878</v>
      </c>
      <c r="G146" s="12">
        <v>21879369</v>
      </c>
      <c r="H146" s="9" t="s">
        <v>1733</v>
      </c>
      <c r="I146" t="str">
        <f t="shared" si="2"/>
        <v>('HUANQUI TRILLO JUAN JOSE','AA.HH. LOS ALAMOS MZ 07 - LT. 03 - PUEBLO NUEVO','PUEBLO NUEVO','ZONA: PUEBLO - TECHO PROPIO','956487878','21879369','F2'),</v>
      </c>
    </row>
    <row r="147" spans="1:9">
      <c r="A147" s="2">
        <v>172</v>
      </c>
      <c r="B147" s="9" t="s">
        <v>923</v>
      </c>
      <c r="C147" s="9" t="s">
        <v>924</v>
      </c>
      <c r="D147" s="9" t="s">
        <v>1679</v>
      </c>
      <c r="E147" s="9" t="s">
        <v>22</v>
      </c>
      <c r="F147" s="9" t="s">
        <v>925</v>
      </c>
      <c r="G147" s="12">
        <v>21879894</v>
      </c>
      <c r="H147" s="9" t="s">
        <v>1722</v>
      </c>
      <c r="I147" t="str">
        <f t="shared" si="2"/>
        <v>('ATUNCAR ROJAS ARMANDO FRANCISCO','CL. SAN PEDRO DE PILPA N°172 - ALFONSO UGARTE - SUNAMPE','SUNAMPE','ZONA: SUNAMPE – SAN PILPA','954 076 020','21879894','F1'),</v>
      </c>
    </row>
    <row r="148" spans="1:9">
      <c r="A148" s="2">
        <v>173</v>
      </c>
      <c r="B148" s="9" t="s">
        <v>165</v>
      </c>
      <c r="C148" s="9" t="s">
        <v>166</v>
      </c>
      <c r="D148" s="9" t="s">
        <v>1679</v>
      </c>
      <c r="E148" s="9" t="s">
        <v>14</v>
      </c>
      <c r="F148" s="9">
        <v>918709040</v>
      </c>
      <c r="G148" s="12">
        <v>21879925</v>
      </c>
      <c r="H148" s="9" t="s">
        <v>1722</v>
      </c>
      <c r="I148" t="str">
        <f t="shared" si="2"/>
        <v>('UCEDA GONZALES VDA DE PALOMINO TERESA SILVANA','Villa Julia - Sunampe','SUNAMPE','ZONA: SUNAMPE – VILLA JULIA','918709040','21879925','F1'),</v>
      </c>
    </row>
    <row r="149" spans="1:9">
      <c r="A149" s="2">
        <v>174</v>
      </c>
      <c r="B149" s="9" t="s">
        <v>151</v>
      </c>
      <c r="C149" s="9" t="s">
        <v>152</v>
      </c>
      <c r="D149" s="9" t="s">
        <v>1679</v>
      </c>
      <c r="E149" s="9" t="s">
        <v>2</v>
      </c>
      <c r="F149" s="9">
        <v>944804574</v>
      </c>
      <c r="G149" s="12">
        <v>21880000</v>
      </c>
      <c r="H149" s="9" t="s">
        <v>1722</v>
      </c>
      <c r="I149" t="str">
        <f t="shared" si="2"/>
        <v>('SARAVIA PACHAS LIDIA','Av. san antonio, guayabo psj. 29','SUNAMPE','ZONA: SUNAMPE – SAN IGNACIO','944804574','21880000','F1'),</v>
      </c>
    </row>
    <row r="150" spans="1:9">
      <c r="A150" s="2">
        <v>175</v>
      </c>
      <c r="B150" s="9" t="s">
        <v>858</v>
      </c>
      <c r="C150" s="9" t="s">
        <v>859</v>
      </c>
      <c r="D150" s="9" t="s">
        <v>1680</v>
      </c>
      <c r="E150" s="9" t="s">
        <v>99</v>
      </c>
      <c r="F150" s="9" t="s">
        <v>860</v>
      </c>
      <c r="G150" s="12">
        <v>21881200</v>
      </c>
      <c r="H150" s="9" t="s">
        <v>1722</v>
      </c>
      <c r="I150" t="str">
        <f t="shared" si="2"/>
        <v>('CASAS DE LA CRUZ ELIZABETH','CL. EL CARMEN N°207 (PSJ. LOS CIRUELOS) - CRUZ BLANCA','CHINCHA ALTA','ZONA: CRUZ BLANCA CAMPO','998 350 397','21881200','F1'),</v>
      </c>
    </row>
    <row r="151" spans="1:9">
      <c r="A151" s="2">
        <v>177</v>
      </c>
      <c r="B151" s="9" t="s">
        <v>1606</v>
      </c>
      <c r="C151" s="9" t="s">
        <v>1607</v>
      </c>
      <c r="D151" s="9" t="s">
        <v>1680</v>
      </c>
      <c r="E151" s="9" t="s">
        <v>1594</v>
      </c>
      <c r="F151" s="9">
        <v>956434279</v>
      </c>
      <c r="G151" s="12">
        <v>21881419</v>
      </c>
      <c r="H151" s="9" t="s">
        <v>1733</v>
      </c>
      <c r="I151" t="str">
        <f t="shared" si="2"/>
        <v>('ORMEÑO ROJAS ANA VERONICA','Calle Francisco Pizarro 109 - Chincha Alta REF:Frente a italika','CHINCHA ALTA','Zona: Chincha','956434279','21881419','F2'),</v>
      </c>
    </row>
    <row r="152" spans="1:9">
      <c r="A152" s="2">
        <v>178</v>
      </c>
      <c r="B152" s="9" t="s">
        <v>455</v>
      </c>
      <c r="C152" s="9" t="s">
        <v>456</v>
      </c>
      <c r="D152" s="9" t="s">
        <v>1679</v>
      </c>
      <c r="E152" s="9" t="s">
        <v>106</v>
      </c>
      <c r="F152" s="9">
        <v>938865246</v>
      </c>
      <c r="G152" s="12">
        <v>21881530</v>
      </c>
      <c r="H152" s="9" t="s">
        <v>1722</v>
      </c>
      <c r="I152" t="str">
        <f t="shared" si="2"/>
        <v>('AVILES CASTILLA NECY ARIANA','SAN MARTIN PSJ PACHAS MINA DE ORO','SUNAMPE','ZONA: SUNAMPE - MINA DE ORO','938865246','21881530','F1'),</v>
      </c>
    </row>
    <row r="153" spans="1:9">
      <c r="A153" s="2">
        <v>179</v>
      </c>
      <c r="B153" s="9" t="s">
        <v>875</v>
      </c>
      <c r="C153" s="9" t="s">
        <v>876</v>
      </c>
      <c r="D153" s="9" t="s">
        <v>1682</v>
      </c>
      <c r="E153" s="9" t="s">
        <v>846</v>
      </c>
      <c r="F153" s="9" t="s">
        <v>877</v>
      </c>
      <c r="G153" s="12">
        <v>21881638</v>
      </c>
      <c r="H153" s="9" t="s">
        <v>1722</v>
      </c>
      <c r="I153" t="str">
        <f t="shared" si="2"/>
        <v>('FLORES CHAVEZ GIOVANNA MARISOL','FUNDO COLORADO MZ. C LT. 07 - GROCIO PRADO','PUEBLO NUEVO','ZONA: PUEBLO - SALVADOR','956 004 149','21881638','F1'),</v>
      </c>
    </row>
    <row r="154" spans="1:9">
      <c r="A154" s="2">
        <v>180</v>
      </c>
      <c r="B154" s="9" t="s">
        <v>1086</v>
      </c>
      <c r="C154" s="9" t="s">
        <v>1087</v>
      </c>
      <c r="D154" s="9" t="s">
        <v>1679</v>
      </c>
      <c r="E154" s="9" t="s">
        <v>22</v>
      </c>
      <c r="F154" s="9" t="s">
        <v>1088</v>
      </c>
      <c r="G154" s="12">
        <v>21881955</v>
      </c>
      <c r="H154" s="9" t="s">
        <v>1722</v>
      </c>
      <c r="I154" t="str">
        <f t="shared" si="2"/>
        <v>('TASAYCO MENDOZA LILIANA CATALINA','CL. SAN PEDRO DE PILPA Nª 588 - ALFONSO UGARTE - SUNAMPE','SUNAMPE','ZONA: SUNAMPE – SAN PILPA','912 180 079','21881955','F1'),</v>
      </c>
    </row>
    <row r="155" spans="1:9">
      <c r="A155" s="2">
        <v>181</v>
      </c>
      <c r="B155" s="9" t="s">
        <v>1039</v>
      </c>
      <c r="C155" s="9" t="s">
        <v>1040</v>
      </c>
      <c r="D155" s="9" t="s">
        <v>1682</v>
      </c>
      <c r="E155" s="9" t="s">
        <v>846</v>
      </c>
      <c r="F155" s="9">
        <v>932904801</v>
      </c>
      <c r="G155" s="12">
        <v>21882395</v>
      </c>
      <c r="H155" s="9" t="s">
        <v>1722</v>
      </c>
      <c r="I155" t="str">
        <f t="shared" si="2"/>
        <v>('HUARANCA DURAND VICTOR','AA.HH. EL SALVADOR MZ. B LT. 17 - PUEBLO NUEVO','PUEBLO NUEVO','ZONA: PUEBLO - SALVADOR','932904801','21882395','F1'),</v>
      </c>
    </row>
    <row r="156" spans="1:9">
      <c r="A156" s="2">
        <v>182</v>
      </c>
      <c r="B156" s="9" t="s">
        <v>177</v>
      </c>
      <c r="C156" s="9" t="s">
        <v>178</v>
      </c>
      <c r="D156" s="9" t="s">
        <v>1679</v>
      </c>
      <c r="E156" s="9" t="s">
        <v>36</v>
      </c>
      <c r="F156" s="9" t="s">
        <v>179</v>
      </c>
      <c r="G156" s="12">
        <v>21882415</v>
      </c>
      <c r="H156" s="9" t="s">
        <v>1722</v>
      </c>
      <c r="I156" t="str">
        <f t="shared" si="2"/>
        <v>('DE LA CRUZ HERNANDEZ RICHARD LEONARDO','Prolg. Paraiso S/N Lomo Largo','SUNAMPE','ZONA: SUNAMPE – PARAISO','951 138 073','21882415','F1'),</v>
      </c>
    </row>
    <row r="157" spans="1:9">
      <c r="A157" s="2">
        <v>183</v>
      </c>
      <c r="B157" s="9" t="s">
        <v>1686</v>
      </c>
      <c r="C157" s="9" t="s">
        <v>1701</v>
      </c>
      <c r="D157" s="9" t="s">
        <v>1679</v>
      </c>
      <c r="E157" s="9" t="s">
        <v>22</v>
      </c>
      <c r="F157" s="9">
        <v>936975821</v>
      </c>
      <c r="G157" s="12">
        <v>21882687</v>
      </c>
      <c r="H157" s="9" t="s">
        <v>1722</v>
      </c>
      <c r="I157" t="str">
        <f t="shared" si="2"/>
        <v>('FUENTES HUAROTE PEDRO JOSHELIN','Av. San pedro de pilpa 461 - Sunampe','SUNAMPE','ZONA: SUNAMPE – SAN PILPA','936975821','21882687','F1'),</v>
      </c>
    </row>
    <row r="158" spans="1:9">
      <c r="A158" s="2">
        <v>184</v>
      </c>
      <c r="B158" s="9" t="s">
        <v>239</v>
      </c>
      <c r="C158" s="9" t="s">
        <v>240</v>
      </c>
      <c r="D158" s="9" t="s">
        <v>1679</v>
      </c>
      <c r="E158" s="9" t="s">
        <v>8</v>
      </c>
      <c r="F158" s="9">
        <v>932964975</v>
      </c>
      <c r="G158" s="12">
        <v>21883163</v>
      </c>
      <c r="H158" s="9" t="s">
        <v>1722</v>
      </c>
      <c r="I158" t="str">
        <f t="shared" si="2"/>
        <v>('REBATTA MURGUEYTIO FERNANDO JAVIER','Sunampe , AV,FATIMA PASAJ LOS MARCLOS','SUNAMPE','ZONA: SUNAMPE – COLEGIO','932964975','21883163','F1'),</v>
      </c>
    </row>
    <row r="159" spans="1:9">
      <c r="A159" s="2">
        <v>185</v>
      </c>
      <c r="B159" s="9" t="s">
        <v>473</v>
      </c>
      <c r="C159" s="9" t="s">
        <v>474</v>
      </c>
      <c r="D159" s="9" t="s">
        <v>1680</v>
      </c>
      <c r="E159" s="9" t="s">
        <v>90</v>
      </c>
      <c r="F159" s="9">
        <v>952695823</v>
      </c>
      <c r="G159" s="12">
        <v>21883620</v>
      </c>
      <c r="H159" s="9" t="s">
        <v>1722</v>
      </c>
      <c r="I159" t="str">
        <f t="shared" si="2"/>
        <v>('PAUCAR CASTILLON DIONISIA CECILIA','Condorillo Alto Mz. Z Lt. 16, pasando la Posta','CHINCHA ALTA','ZONA: CONDORILLO PARTE ALTA','952695823','21883620','F1'),</v>
      </c>
    </row>
    <row r="160" spans="1:9">
      <c r="A160" s="2">
        <v>186</v>
      </c>
      <c r="B160" s="9" t="s">
        <v>288</v>
      </c>
      <c r="C160" s="9" t="s">
        <v>289</v>
      </c>
      <c r="D160" s="9" t="s">
        <v>1679</v>
      </c>
      <c r="E160" s="9" t="s">
        <v>22</v>
      </c>
      <c r="F160" s="9" t="s">
        <v>290</v>
      </c>
      <c r="G160" s="12">
        <v>21883633</v>
      </c>
      <c r="H160" s="9" t="s">
        <v>1722</v>
      </c>
      <c r="I160" t="str">
        <f t="shared" si="2"/>
        <v>('QUISPE DE LA CRUZ JUAN MARCELINO','Psj. Santa Rosa Sunampe','SUNAMPE','ZONA: SUNAMPE – SAN PILPA','982 006 028','21883633','F1'),</v>
      </c>
    </row>
    <row r="161" spans="1:9">
      <c r="A161" s="2">
        <v>187</v>
      </c>
      <c r="B161" s="9" t="s">
        <v>1640</v>
      </c>
      <c r="C161" s="9" t="s">
        <v>1641</v>
      </c>
      <c r="D161" s="9" t="s">
        <v>1683</v>
      </c>
      <c r="E161" s="9" t="s">
        <v>1627</v>
      </c>
      <c r="F161" s="9">
        <v>966978545</v>
      </c>
      <c r="G161" s="12">
        <v>21884421</v>
      </c>
      <c r="H161" s="9" t="s">
        <v>1722</v>
      </c>
      <c r="I161" t="str">
        <f t="shared" si="2"/>
        <v>('MARCOS MENESES MAGALY AMPARO','Calle chorrillos  216- Tambo de Mora Ref: antes del caldo de gallina Juanita','TAMBO DE MORA','Zona: Tambo de Mora 1','966978545','21884421','F1'),</v>
      </c>
    </row>
    <row r="162" spans="1:9">
      <c r="A162" s="2">
        <v>189</v>
      </c>
      <c r="B162" s="9" t="s">
        <v>241</v>
      </c>
      <c r="C162" s="9" t="s">
        <v>242</v>
      </c>
      <c r="D162" s="9" t="s">
        <v>1680</v>
      </c>
      <c r="E162" s="9" t="s">
        <v>27</v>
      </c>
      <c r="F162" s="9">
        <v>946044404</v>
      </c>
      <c r="G162" s="12">
        <v>21884554</v>
      </c>
      <c r="H162" s="9" t="s">
        <v>1722</v>
      </c>
      <c r="I162" t="str">
        <f t="shared" si="2"/>
        <v>('TASAYCO BAUTISTA OSWALDO ERNESTO','Asociación virgen del Carmen mz. A lote 7 (Costado del estadio pasaje girasoles)','CHINCHA ALTA','ZONA: CRUZ BLANCA PARTE BAJA','946044404','21884554','F1'),</v>
      </c>
    </row>
    <row r="163" spans="1:9">
      <c r="A163" s="2">
        <v>190</v>
      </c>
      <c r="B163" s="9" t="s">
        <v>1381</v>
      </c>
      <c r="C163" s="9" t="s">
        <v>1382</v>
      </c>
      <c r="D163" s="9" t="s">
        <v>1682</v>
      </c>
      <c r="E163" s="9" t="s">
        <v>1383</v>
      </c>
      <c r="F163" s="9" t="s">
        <v>1384</v>
      </c>
      <c r="G163" s="12">
        <v>21884660</v>
      </c>
      <c r="H163" s="9" t="s">
        <v>1733</v>
      </c>
      <c r="I163" t="str">
        <f t="shared" si="2"/>
        <v>('FLOR GIOVANNA PABLO SOLIS','AA.HH. LAS ROCAS,  CL PAMPA DE ÑOCO - PUEBLO NUEVO','PUEBLO NUEVO','ZONA: PUEBLO - SATELITE - ROCAS','995 471 012','21884660','F2'),</v>
      </c>
    </row>
    <row r="164" spans="1:9">
      <c r="A164" s="2">
        <v>191</v>
      </c>
      <c r="B164" s="9" t="s">
        <v>591</v>
      </c>
      <c r="C164" s="9" t="s">
        <v>592</v>
      </c>
      <c r="D164" s="9" t="s">
        <v>1679</v>
      </c>
      <c r="E164" s="9" t="s">
        <v>5</v>
      </c>
      <c r="F164" s="9" t="s">
        <v>593</v>
      </c>
      <c r="G164" s="12">
        <v>21885259</v>
      </c>
      <c r="H164" s="9" t="s">
        <v>1722</v>
      </c>
      <c r="I164" t="str">
        <f t="shared" si="2"/>
        <v>('PEÑA YATACO JUAN CESAR','Av Santa Rosa 229 Sunampe','SUNAMPE','ZONA: SUNAMPE – SANTA ROSA','981 474 206','21885259','F1'),</v>
      </c>
    </row>
    <row r="165" spans="1:9">
      <c r="A165" s="2">
        <v>192</v>
      </c>
      <c r="B165" s="9" t="s">
        <v>311</v>
      </c>
      <c r="C165" s="9" t="s">
        <v>312</v>
      </c>
      <c r="D165" s="9" t="s">
        <v>1679</v>
      </c>
      <c r="E165" s="9" t="s">
        <v>36</v>
      </c>
      <c r="F165" s="9">
        <v>955227823</v>
      </c>
      <c r="G165" s="12">
        <v>21885316</v>
      </c>
      <c r="H165" s="9" t="s">
        <v>1722</v>
      </c>
      <c r="I165" t="str">
        <f t="shared" si="2"/>
        <v>('RUTH KARINA TAIPE BONIFACIO','PSJ. LOS GERANIOS S/N - C.P. LOMO LARGO - SUNAMPE','SUNAMPE','ZONA: SUNAMPE – PARAISO','955227823','21885316','F1'),</v>
      </c>
    </row>
    <row r="166" spans="1:9">
      <c r="A166" s="2">
        <v>194</v>
      </c>
      <c r="B166" s="9" t="s">
        <v>617</v>
      </c>
      <c r="C166" s="9" t="s">
        <v>618</v>
      </c>
      <c r="D166" s="9" t="s">
        <v>1679</v>
      </c>
      <c r="E166" s="9" t="s">
        <v>5</v>
      </c>
      <c r="F166" s="9" t="s">
        <v>619</v>
      </c>
      <c r="G166" s="12">
        <v>21886051</v>
      </c>
      <c r="H166" s="9" t="s">
        <v>1722</v>
      </c>
      <c r="I166" t="str">
        <f t="shared" si="2"/>
        <v>('PACHAS SANCHEZ ALFREDO CARLOS','Pado de Gómez N 102    C. P  Huaca Grande.','SUNAMPE','ZONA: SUNAMPE – SANTA ROSA','940 601 252','21886051','F1'),</v>
      </c>
    </row>
    <row r="167" spans="1:9">
      <c r="A167" s="2">
        <v>195</v>
      </c>
      <c r="B167" s="9" t="s">
        <v>1649</v>
      </c>
      <c r="C167" s="9" t="s">
        <v>1650</v>
      </c>
      <c r="D167" s="9" t="s">
        <v>1679</v>
      </c>
      <c r="E167" s="9" t="s">
        <v>1642</v>
      </c>
      <c r="F167" s="9">
        <v>998375132</v>
      </c>
      <c r="G167" s="12">
        <v>21886081</v>
      </c>
      <c r="H167" s="9" t="s">
        <v>1722</v>
      </c>
      <c r="I167" t="str">
        <f t="shared" si="2"/>
        <v>('MUNAYCO PEÑALOZA GLORIA YSABEL','Paso de gomez s/n, camino a huaca grande','SUNAMPE','Zona: Sunampe','998375132','21886081','F1'),</v>
      </c>
    </row>
    <row r="168" spans="1:9">
      <c r="A168" s="2">
        <v>196</v>
      </c>
      <c r="B168" s="9" t="s">
        <v>587</v>
      </c>
      <c r="C168" s="9" t="s">
        <v>588</v>
      </c>
      <c r="D168" s="9" t="s">
        <v>1679</v>
      </c>
      <c r="E168" s="9" t="s">
        <v>22</v>
      </c>
      <c r="F168" s="9">
        <v>955918541</v>
      </c>
      <c r="G168" s="12">
        <v>21886108</v>
      </c>
      <c r="H168" s="9" t="s">
        <v>1722</v>
      </c>
      <c r="I168" t="str">
        <f t="shared" si="2"/>
        <v>('NAPA YATACO ZULLY TERESA','Av. san pedro de pilpa 159 int B','SUNAMPE','ZONA: SUNAMPE – SAN PILPA','955918541','21886108','F1'),</v>
      </c>
    </row>
    <row r="169" spans="1:9">
      <c r="A169" s="2">
        <v>197</v>
      </c>
      <c r="B169" s="9" t="s">
        <v>976</v>
      </c>
      <c r="C169" s="9" t="s">
        <v>977</v>
      </c>
      <c r="D169" s="9" t="s">
        <v>1679</v>
      </c>
      <c r="E169" s="9" t="s">
        <v>5</v>
      </c>
      <c r="F169" s="9" t="s">
        <v>978</v>
      </c>
      <c r="G169" s="12">
        <v>21886144</v>
      </c>
      <c r="H169" s="9" t="s">
        <v>1722</v>
      </c>
      <c r="I169" t="str">
        <f t="shared" si="2"/>
        <v>('SARAVIA SEBASTIAN YANNINA','C.P. SAN ANTONIO MZ. F LT. 11, SANTA ROSA- SUNAMPE','SUNAMPE','ZONA: SUNAMPE – SANTA ROSA','934 102 473','21886144','F1'),</v>
      </c>
    </row>
    <row r="170" spans="1:9">
      <c r="A170" s="2">
        <v>198</v>
      </c>
      <c r="B170" s="9" t="s">
        <v>1636</v>
      </c>
      <c r="C170" s="9" t="s">
        <v>1637</v>
      </c>
      <c r="D170" s="9" t="s">
        <v>1683</v>
      </c>
      <c r="E170" s="9" t="s">
        <v>1725</v>
      </c>
      <c r="F170" s="9">
        <v>988529924</v>
      </c>
      <c r="G170" s="12">
        <v>21886411</v>
      </c>
      <c r="H170" s="9" t="s">
        <v>1733</v>
      </c>
      <c r="I170" t="str">
        <f t="shared" si="2"/>
        <v>('TORRES NAVARRETE CESAR JHONNY','Vilma leon Mz. B lt. 19','TAMBO DE MORA','No especificado','988529924','21886411','F2'),</v>
      </c>
    </row>
    <row r="171" spans="1:9">
      <c r="A171" s="2">
        <v>199</v>
      </c>
      <c r="B171" s="9" t="s">
        <v>167</v>
      </c>
      <c r="C171" s="9" t="s">
        <v>168</v>
      </c>
      <c r="D171" s="9" t="s">
        <v>1679</v>
      </c>
      <c r="E171" s="9" t="s">
        <v>71</v>
      </c>
      <c r="F171" s="9">
        <v>952631213</v>
      </c>
      <c r="G171" s="12">
        <v>21887388</v>
      </c>
      <c r="H171" s="9" t="s">
        <v>1722</v>
      </c>
      <c r="I171" t="str">
        <f t="shared" si="2"/>
        <v>('JUAN EDUARDO MALASQUEZ CHICO','ENTRADA SANTA FE, CAMINO EL SOCORRO - SUNAMPE','SUNAMPE','ZONA: SUNAMPE – SANTA FE','952631213','21887388','F1'),</v>
      </c>
    </row>
    <row r="172" spans="1:9">
      <c r="A172" s="2">
        <v>200</v>
      </c>
      <c r="B172" s="9" t="s">
        <v>471</v>
      </c>
      <c r="C172" s="9" t="s">
        <v>472</v>
      </c>
      <c r="D172" s="9" t="s">
        <v>1680</v>
      </c>
      <c r="E172" s="9" t="s">
        <v>19</v>
      </c>
      <c r="F172" s="9">
        <v>955063711</v>
      </c>
      <c r="G172" s="12">
        <v>21887537</v>
      </c>
      <c r="H172" s="9" t="s">
        <v>1722</v>
      </c>
      <c r="I172" t="str">
        <f t="shared" si="2"/>
        <v>('VILLA CASTILLA MAGDALENA','PASAJE TUPAC AMARTU 132 CRUZ BLANCA','CHINCHA ALTA','ZONA: CRUZ BLANCA PARTE ALTA oruro','955063711','21887537','F1'),</v>
      </c>
    </row>
    <row r="173" spans="1:9">
      <c r="A173" s="2">
        <v>201</v>
      </c>
      <c r="B173" s="9" t="s">
        <v>469</v>
      </c>
      <c r="C173" s="9" t="s">
        <v>470</v>
      </c>
      <c r="D173" s="9" t="s">
        <v>1680</v>
      </c>
      <c r="E173" s="9" t="s">
        <v>126</v>
      </c>
      <c r="F173" s="9">
        <v>953433332</v>
      </c>
      <c r="G173" s="12">
        <v>21887823</v>
      </c>
      <c r="H173" s="9" t="s">
        <v>1722</v>
      </c>
      <c r="I173" t="str">
        <f t="shared" si="2"/>
        <v>('MAGALLANES GARCIA JULIO CESAR','TOMA DE CALA LT. 17 - CRUZ BLANCA - CHINCHA','CHINCHA ALTA','ZONA: CRUZ BLANCA VIRGEN CARMEN','953433332','21887823','F1'),</v>
      </c>
    </row>
    <row r="174" spans="1:9">
      <c r="A174" s="2">
        <v>202</v>
      </c>
      <c r="B174" s="9" t="s">
        <v>1197</v>
      </c>
      <c r="C174" s="9" t="s">
        <v>1198</v>
      </c>
      <c r="D174" s="9" t="s">
        <v>1680</v>
      </c>
      <c r="E174" s="9" t="s">
        <v>710</v>
      </c>
      <c r="F174" s="9">
        <v>981290053</v>
      </c>
      <c r="G174" s="12">
        <v>21887938</v>
      </c>
      <c r="H174" s="9" t="s">
        <v>1722</v>
      </c>
      <c r="I174" t="str">
        <f t="shared" si="2"/>
        <v>('CHOQUEZ PAREDES ANA CECILIA','CL. JOSÉ OLAYA N° 222-01 CERCADO DE CHINCHA ALTA','CHINCHA ALTA','ZONA: CHINCHA - AMERICA','981290053','21887938','F1'),</v>
      </c>
    </row>
    <row r="175" spans="1:9">
      <c r="A175" s="2">
        <v>203</v>
      </c>
      <c r="B175" s="9" t="s">
        <v>650</v>
      </c>
      <c r="C175" s="9" t="s">
        <v>651</v>
      </c>
      <c r="D175" s="9" t="s">
        <v>1679</v>
      </c>
      <c r="E175" s="9" t="s">
        <v>5</v>
      </c>
      <c r="F175" s="9" t="s">
        <v>652</v>
      </c>
      <c r="G175" s="12">
        <v>22303840</v>
      </c>
      <c r="H175" s="9" t="s">
        <v>1722</v>
      </c>
      <c r="I175" t="str">
        <f t="shared" si="2"/>
        <v>('SARAVIA VELA ROCIO HAYDEE','Av. San Antonio   - Santa Rosa - Sunampe','SUNAMPE','ZONA: SUNAMPE – SANTA ROSA','981 168 789','22303840','F1'),</v>
      </c>
    </row>
    <row r="176" spans="1:9">
      <c r="A176" s="2">
        <v>204</v>
      </c>
      <c r="B176" s="9" t="s">
        <v>989</v>
      </c>
      <c r="C176" s="9" t="s">
        <v>990</v>
      </c>
      <c r="D176" s="9" t="s">
        <v>1682</v>
      </c>
      <c r="E176" s="9" t="s">
        <v>846</v>
      </c>
      <c r="F176" s="9" t="s">
        <v>991</v>
      </c>
      <c r="G176" s="12">
        <v>22309356</v>
      </c>
      <c r="H176" s="9" t="s">
        <v>1722</v>
      </c>
      <c r="I176" t="str">
        <f t="shared" si="2"/>
        <v>('ORTIZ CASTILLA YESENIA','HUSARES DE JUNIN MZ. N LT. 11 - PUEBLO NUEVO','PUEBLO NUEVO','ZONA: PUEBLO - SALVADOR','900 776 069','22309356','F1'),</v>
      </c>
    </row>
    <row r="177" spans="1:9">
      <c r="A177" s="2">
        <v>205</v>
      </c>
      <c r="B177" s="9" t="s">
        <v>1643</v>
      </c>
      <c r="C177" s="9" t="s">
        <v>1644</v>
      </c>
      <c r="D177" s="9" t="s">
        <v>1679</v>
      </c>
      <c r="E177" s="9" t="s">
        <v>1642</v>
      </c>
      <c r="F177" s="9">
        <v>923716112</v>
      </c>
      <c r="G177" s="12">
        <v>22318174</v>
      </c>
      <c r="H177" s="9" t="s">
        <v>1722</v>
      </c>
      <c r="I177" t="str">
        <f t="shared" si="2"/>
        <v>('CUADROS OSTIA FELIX EDUARDO','Av. Fátima - Psj Los Marcelos, Mz i Lot. 51','SUNAMPE','Zona: Sunampe','923716112','22318174','F1'),</v>
      </c>
    </row>
    <row r="178" spans="1:9">
      <c r="A178" s="2">
        <v>206</v>
      </c>
      <c r="B178" s="9" t="s">
        <v>1071</v>
      </c>
      <c r="C178" s="9" t="s">
        <v>1072</v>
      </c>
      <c r="D178" s="9" t="s">
        <v>1680</v>
      </c>
      <c r="E178" s="9" t="s">
        <v>27</v>
      </c>
      <c r="F178" s="9">
        <v>967591253</v>
      </c>
      <c r="G178" s="12">
        <v>23019806</v>
      </c>
      <c r="H178" s="9" t="s">
        <v>1722</v>
      </c>
      <c r="I178" t="str">
        <f t="shared" si="2"/>
        <v>('JUAREZ TORRES LUCY YAMALI','AV. LUIS ALVA MAURTUA  Nº 525 - CRUZ BLANCA - CHINCHA ALTA','CHINCHA ALTA','ZONA: CRUZ BLANCA PARTE BAJA','967591253','23019806','F1'),</v>
      </c>
    </row>
    <row r="179" spans="1:9">
      <c r="A179" s="2">
        <v>208</v>
      </c>
      <c r="B179" s="9" t="s">
        <v>839</v>
      </c>
      <c r="C179" s="9" t="s">
        <v>840</v>
      </c>
      <c r="D179" s="9" t="s">
        <v>1679</v>
      </c>
      <c r="E179" s="9" t="s">
        <v>718</v>
      </c>
      <c r="F179" s="9">
        <v>934325672</v>
      </c>
      <c r="G179" s="12">
        <v>29714569</v>
      </c>
      <c r="H179" s="9" t="s">
        <v>1722</v>
      </c>
      <c r="I179" t="str">
        <f t="shared" si="2"/>
        <v>('LEON CHAMBI JUANA ROSA','AA.HH. JESUS MARIA Y JOSE MZ. C LT 01. - CHACARITA - SUNAMPE','SUNAMPE','ZONA: SUNAMPE – CHACARITA','934325672','29714569','F1'),</v>
      </c>
    </row>
    <row r="180" spans="1:9">
      <c r="A180" s="2">
        <v>209</v>
      </c>
      <c r="B180" s="9" t="s">
        <v>898</v>
      </c>
      <c r="C180" s="9" t="s">
        <v>899</v>
      </c>
      <c r="D180" s="9" t="s">
        <v>1679</v>
      </c>
      <c r="E180" s="9" t="s">
        <v>2</v>
      </c>
      <c r="F180" s="9">
        <v>950579561</v>
      </c>
      <c r="G180" s="12">
        <v>32135963</v>
      </c>
      <c r="H180" s="9" t="s">
        <v>1722</v>
      </c>
      <c r="I180" t="str">
        <f t="shared" si="2"/>
        <v>('TASAYCO YOVERA ERIKA MELCHORITA','AV. SAN FRANCISCO N°156 - SAN IGNACIO - SUNAMPE','SUNAMPE','ZONA: SUNAMPE – SAN IGNACIO','950579561','32135963','F1'),</v>
      </c>
    </row>
    <row r="181" spans="1:9">
      <c r="A181" s="2">
        <v>210</v>
      </c>
      <c r="B181" s="9" t="s">
        <v>25</v>
      </c>
      <c r="C181" s="9" t="s">
        <v>26</v>
      </c>
      <c r="D181" s="9" t="s">
        <v>1680</v>
      </c>
      <c r="E181" s="9" t="s">
        <v>27</v>
      </c>
      <c r="F181" s="9">
        <v>923757401</v>
      </c>
      <c r="G181" s="12">
        <v>32872532</v>
      </c>
      <c r="H181" s="9" t="s">
        <v>1722</v>
      </c>
      <c r="I181" t="str">
        <f t="shared" si="2"/>
        <v>('PONTE CERNA MARIBEL RUDI','Pasaje Santa Rosa - Espalda de Cruz Blanca','CHINCHA ALTA','ZONA: CRUZ BLANCA PARTE BAJA','923757401','32872532','F1'),</v>
      </c>
    </row>
    <row r="182" spans="1:9">
      <c r="A182" s="2">
        <v>211</v>
      </c>
      <c r="B182" s="9" t="s">
        <v>358</v>
      </c>
      <c r="C182" s="9" t="s">
        <v>359</v>
      </c>
      <c r="D182" s="9" t="s">
        <v>1681</v>
      </c>
      <c r="E182" s="9" t="s">
        <v>11</v>
      </c>
      <c r="F182" s="9" t="s">
        <v>360</v>
      </c>
      <c r="G182" s="12">
        <v>40011025</v>
      </c>
      <c r="H182" s="9" t="s">
        <v>1722</v>
      </c>
      <c r="I182" t="str">
        <f t="shared" si="2"/>
        <v>('MARCA MARCOS ELVIS VICTOR','Prolong. Ayacucho S/N','GROCIO PRADO','ZONA: GROCIO - MEJILLONEROS','921 796 516','40011025','F1'),</v>
      </c>
    </row>
    <row r="183" spans="1:9">
      <c r="A183" s="2">
        <v>212</v>
      </c>
      <c r="B183" s="9" t="s">
        <v>277</v>
      </c>
      <c r="C183" s="9" t="s">
        <v>278</v>
      </c>
      <c r="D183" s="9" t="s">
        <v>1679</v>
      </c>
      <c r="E183" s="9" t="s">
        <v>8</v>
      </c>
      <c r="F183" s="9">
        <v>934223941</v>
      </c>
      <c r="G183" s="12">
        <v>40024626</v>
      </c>
      <c r="H183" s="9" t="s">
        <v>1722</v>
      </c>
      <c r="I183" t="str">
        <f t="shared" si="2"/>
        <v>('ROQUE ARZAPALO CLAUDIO','AV. FATIMA LT. 27 - SUNAMPE','SUNAMPE','ZONA: SUNAMPE – COLEGIO','934223941','40024626','F1'),</v>
      </c>
    </row>
    <row r="184" spans="1:9">
      <c r="A184" s="2">
        <v>213</v>
      </c>
      <c r="B184" s="9" t="s">
        <v>1694</v>
      </c>
      <c r="C184" s="9" t="s">
        <v>1212</v>
      </c>
      <c r="D184" s="9" t="s">
        <v>1679</v>
      </c>
      <c r="E184" s="9" t="s">
        <v>22</v>
      </c>
      <c r="F184" s="9" t="s">
        <v>1715</v>
      </c>
      <c r="G184" s="12">
        <v>40036264</v>
      </c>
      <c r="H184" s="9" t="s">
        <v>1722</v>
      </c>
      <c r="I184" t="str">
        <f t="shared" si="2"/>
        <v>('VILLA GOMEZ GIOVANNA ESTHER ','CL. SAN PEDRO DE PILPA Nª 235 - C.P. ALFONSO UGARTE NORTE - SUNAMPE','SUNAMPE','ZONA: SUNAMPE – SAN PILPA','954 849 614','40036264','F1'),</v>
      </c>
    </row>
    <row r="185" spans="1:9">
      <c r="A185" s="2">
        <v>214</v>
      </c>
      <c r="B185" s="9" t="s">
        <v>438</v>
      </c>
      <c r="C185" s="9" t="s">
        <v>439</v>
      </c>
      <c r="D185" s="9" t="s">
        <v>1680</v>
      </c>
      <c r="E185" s="9" t="s">
        <v>90</v>
      </c>
      <c r="F185" s="9">
        <v>934666371</v>
      </c>
      <c r="G185" s="12">
        <v>40055313</v>
      </c>
      <c r="H185" s="9" t="s">
        <v>1722</v>
      </c>
      <c r="I185" t="str">
        <f t="shared" si="2"/>
        <v>('QUISPE CHUQUISPUMA SANTA SILVESTRA','C.P. CONDORILLO ALTO MZ. L LT. 12 - CHINCHA','CHINCHA ALTA','ZONA: CONDORILLO PARTE ALTA','934666371','40055313','F1'),</v>
      </c>
    </row>
    <row r="186" spans="1:9">
      <c r="A186" s="2">
        <v>215</v>
      </c>
      <c r="B186" s="9" t="s">
        <v>585</v>
      </c>
      <c r="C186" s="9" t="s">
        <v>586</v>
      </c>
      <c r="D186" s="9" t="s">
        <v>1681</v>
      </c>
      <c r="E186" s="9" t="s">
        <v>317</v>
      </c>
      <c r="F186" s="9">
        <v>956053142</v>
      </c>
      <c r="G186" s="12">
        <v>40088068</v>
      </c>
      <c r="H186" s="9" t="s">
        <v>1733</v>
      </c>
      <c r="I186" t="str">
        <f t="shared" si="2"/>
        <v>('CASTILLA MUNAYCO MANUEL ELISBAN','CL. ANDRES CORCINO Nº 154 B - EL PORVENIR - GROCIO PRADO','GROCIO PRADO','ZONA: GROCIO - EL PORVENIR','956053142','40088068','F2'),</v>
      </c>
    </row>
    <row r="187" spans="1:9">
      <c r="A187" s="2">
        <v>216</v>
      </c>
      <c r="B187" s="9" t="s">
        <v>329</v>
      </c>
      <c r="C187" s="9" t="s">
        <v>330</v>
      </c>
      <c r="D187" s="9" t="s">
        <v>1679</v>
      </c>
      <c r="E187" s="9" t="s">
        <v>36</v>
      </c>
      <c r="F187" s="9" t="s">
        <v>331</v>
      </c>
      <c r="G187" s="12">
        <v>40092221</v>
      </c>
      <c r="H187" s="9" t="s">
        <v>1733</v>
      </c>
      <c r="I187" t="str">
        <f t="shared" si="2"/>
        <v>('CARDENAS MALLQUI MARIA ROSARIO','Av.primavera - lomo largo','SUNAMPE','ZONA: SUNAMPE – PARAISO','956 353 843','40092221','F2'),</v>
      </c>
    </row>
    <row r="188" spans="1:9">
      <c r="A188" s="2">
        <v>217</v>
      </c>
      <c r="B188" s="9" t="s">
        <v>407</v>
      </c>
      <c r="C188" s="9" t="s">
        <v>408</v>
      </c>
      <c r="D188" s="9" t="s">
        <v>1680</v>
      </c>
      <c r="E188" s="9" t="s">
        <v>99</v>
      </c>
      <c r="F188" s="9">
        <v>924428077</v>
      </c>
      <c r="G188" s="12">
        <v>40117370</v>
      </c>
      <c r="H188" s="9" t="s">
        <v>1722</v>
      </c>
      <c r="I188" t="str">
        <f t="shared" si="2"/>
        <v>('GUERRA DE LA CRUZ MARIA YSABEL','CALLE EL CARMEN N° 107 - CRUZ BLANCA - CHINCHA','CHINCHA ALTA','ZONA: CRUZ BLANCA CAMPO','924428077','40117370','F1'),</v>
      </c>
    </row>
    <row r="189" spans="1:9">
      <c r="A189" s="2">
        <v>218</v>
      </c>
      <c r="B189" s="9" t="s">
        <v>1666</v>
      </c>
      <c r="C189" s="9" t="s">
        <v>1667</v>
      </c>
      <c r="D189" s="9" t="s">
        <v>1683</v>
      </c>
      <c r="E189" s="9" t="s">
        <v>1627</v>
      </c>
      <c r="F189" s="9">
        <v>924256300</v>
      </c>
      <c r="G189" s="12">
        <v>40146976</v>
      </c>
      <c r="H189" s="9" t="s">
        <v>1722</v>
      </c>
      <c r="I189" t="str">
        <f t="shared" si="2"/>
        <v>('ATUNCAR PERALTA MARIA ESPERANZA','CALLE LUIS  HERRERA Nº 400 - CHINCHA BAJA','TAMBO DE MORA','Zona: Tambo de Mora 1','924256300','40146976','F1'),</v>
      </c>
    </row>
    <row r="190" spans="1:9">
      <c r="A190" s="2">
        <v>220</v>
      </c>
      <c r="B190" s="9" t="s">
        <v>30</v>
      </c>
      <c r="C190" s="9" t="s">
        <v>31</v>
      </c>
      <c r="D190" s="9" t="s">
        <v>1680</v>
      </c>
      <c r="E190" s="9" t="s">
        <v>27</v>
      </c>
      <c r="F190" s="9">
        <v>917631665</v>
      </c>
      <c r="G190" s="12">
        <v>40231558</v>
      </c>
      <c r="H190" s="9" t="s">
        <v>1722</v>
      </c>
      <c r="I190" t="str">
        <f t="shared" si="2"/>
        <v>('GARCIA CASTILLA MARITZA','Prolongacion Alva Maurtua - Cruz Blanca (Ex toma de cala)','CHINCHA ALTA','ZONA: CRUZ BLANCA PARTE BAJA','917631665','40231558','F1'),</v>
      </c>
    </row>
    <row r="191" spans="1:9">
      <c r="A191" s="2">
        <v>221</v>
      </c>
      <c r="B191" s="9" t="s">
        <v>6</v>
      </c>
      <c r="C191" s="9" t="s">
        <v>7</v>
      </c>
      <c r="D191" s="9" t="s">
        <v>1679</v>
      </c>
      <c r="E191" s="9" t="s">
        <v>8</v>
      </c>
      <c r="F191" s="9">
        <v>979420182</v>
      </c>
      <c r="G191" s="12">
        <v>40339325</v>
      </c>
      <c r="H191" s="9" t="s">
        <v>1722</v>
      </c>
      <c r="I191" t="str">
        <f t="shared" si="2"/>
        <v>('BARRUTIA NAPA GERMAN YSAIAS','SUNAMPE PASO DE GOMEZ S/N','SUNAMPE','ZONA: SUNAMPE – COLEGIO','979420182','40339325','F1'),</v>
      </c>
    </row>
    <row r="192" spans="1:9">
      <c r="A192" s="2">
        <v>223</v>
      </c>
      <c r="B192" s="9" t="s">
        <v>850</v>
      </c>
      <c r="C192" s="9" t="s">
        <v>851</v>
      </c>
      <c r="D192" s="9" t="s">
        <v>1682</v>
      </c>
      <c r="E192" s="9" t="s">
        <v>846</v>
      </c>
      <c r="F192" s="9" t="s">
        <v>852</v>
      </c>
      <c r="G192" s="12">
        <v>40461640</v>
      </c>
      <c r="H192" s="9" t="s">
        <v>1733</v>
      </c>
      <c r="I192" t="str">
        <f t="shared" si="2"/>
        <v>('DIAZ ROJAS ENEIDA ZULEMA','UPIS KEIKO SOFIA MZ. U LT. 12 - PUEBLO NUEVO','PUEBLO NUEVO','ZONA: PUEBLO - SALVADOR','975 290 503','40461640','F2'),</v>
      </c>
    </row>
    <row r="193" spans="1:9">
      <c r="A193" s="2">
        <v>224</v>
      </c>
      <c r="B193" s="9" t="s">
        <v>1403</v>
      </c>
      <c r="C193" s="9" t="s">
        <v>1404</v>
      </c>
      <c r="D193" s="9" t="s">
        <v>1682</v>
      </c>
      <c r="E193" s="9" t="s">
        <v>1372</v>
      </c>
      <c r="F193" s="9">
        <v>977723525</v>
      </c>
      <c r="G193" s="12">
        <v>40476139</v>
      </c>
      <c r="H193" s="9" t="s">
        <v>1722</v>
      </c>
      <c r="I193" t="str">
        <f t="shared" si="2"/>
        <v>('RITA MAGDALENA MUÑOZ VICENTE','AA. HH. CUIDAD SATELITE MZNA-D NRO. 16 - PUEBLO NUEVO','PUEBLO NUEVO','ZONA: PUEBLO - SATELITE','977723525','40476139','F1'),</v>
      </c>
    </row>
    <row r="194" spans="1:9">
      <c r="A194" s="2">
        <v>226</v>
      </c>
      <c r="B194" s="9" t="s">
        <v>82</v>
      </c>
      <c r="C194" s="9" t="s">
        <v>83</v>
      </c>
      <c r="D194" s="9" t="s">
        <v>1679</v>
      </c>
      <c r="E194" s="9" t="s">
        <v>22</v>
      </c>
      <c r="F194" s="9">
        <v>925286131</v>
      </c>
      <c r="G194" s="12">
        <v>40521896</v>
      </c>
      <c r="H194" s="9" t="s">
        <v>1722</v>
      </c>
      <c r="I194" t="str">
        <f t="shared" si="2"/>
        <v>('ROJAS AVALOS CARMEN ISABEL','pasaje santa rosa sunampe, frente al grifo','SUNAMPE','ZONA: SUNAMPE – SAN PILPA','925286131','40521896','F1'),</v>
      </c>
    </row>
    <row r="195" spans="1:9">
      <c r="A195" s="2">
        <v>227</v>
      </c>
      <c r="B195" s="9" t="s">
        <v>1604</v>
      </c>
      <c r="C195" s="9" t="s">
        <v>1605</v>
      </c>
      <c r="D195" s="9" t="s">
        <v>1680</v>
      </c>
      <c r="E195" s="9" t="s">
        <v>1594</v>
      </c>
      <c r="F195" s="9">
        <v>922918771</v>
      </c>
      <c r="G195" s="12">
        <v>40540779</v>
      </c>
      <c r="H195" s="9" t="s">
        <v>1722</v>
      </c>
      <c r="I195" t="str">
        <f t="shared" ref="I195:I258" si="3">"('"&amp;B195&amp;"','"&amp;C195&amp;"','"&amp;D195&amp;"','"&amp;E195&amp;"','"&amp;F195&amp;"','"&amp;G195&amp;"','"&amp;H195&amp;"'),"</f>
        <v>('ESPINOZA PAUCAR IRMA LIDIA','Plaza de armas de San Agustin Mz I Lt.11 ref: Una cuadra antes de la botica universal, casa celeste con rejas negras, en la misma casa hay una tienda','CHINCHA ALTA','Zona: Chincha','922918771','40540779','F1'),</v>
      </c>
    </row>
    <row r="196" spans="1:9">
      <c r="A196" s="2">
        <v>228</v>
      </c>
      <c r="B196" s="9" t="s">
        <v>660</v>
      </c>
      <c r="C196" s="9" t="s">
        <v>661</v>
      </c>
      <c r="D196" s="9" t="s">
        <v>1679</v>
      </c>
      <c r="E196" s="9" t="s">
        <v>596</v>
      </c>
      <c r="F196" s="9" t="s">
        <v>662</v>
      </c>
      <c r="G196" s="12">
        <v>40552662</v>
      </c>
      <c r="H196" s="9" t="s">
        <v>1722</v>
      </c>
      <c r="I196" t="str">
        <f t="shared" si="3"/>
        <v>('SARAVIA SOLARI YULIANA SARITA','Calle La Victoria 247 - Sunampe','SUNAMPE','ZONA: SUNAMPE – CALLE LIMA','947 502 742','40552662','F1'),</v>
      </c>
    </row>
    <row r="197" spans="1:9">
      <c r="A197" s="2">
        <v>229</v>
      </c>
      <c r="B197" s="9" t="s">
        <v>436</v>
      </c>
      <c r="C197" s="9" t="s">
        <v>437</v>
      </c>
      <c r="D197" s="9" t="s">
        <v>1680</v>
      </c>
      <c r="E197" s="9" t="s">
        <v>90</v>
      </c>
      <c r="F197" s="9">
        <v>956790341</v>
      </c>
      <c r="G197" s="12">
        <v>40554177</v>
      </c>
      <c r="H197" s="9" t="s">
        <v>1722</v>
      </c>
      <c r="I197" t="str">
        <f t="shared" si="3"/>
        <v>('LAZARO CANCHARI DELFIN EDGAR','C.P. Condorillo Alto Mz Z Lt 22','CHINCHA ALTA','ZONA: CONDORILLO PARTE ALTA','956790341','40554177','F1'),</v>
      </c>
    </row>
    <row r="198" spans="1:9">
      <c r="A198" s="2">
        <v>230</v>
      </c>
      <c r="B198" s="9" t="s">
        <v>338</v>
      </c>
      <c r="C198" s="9" t="s">
        <v>339</v>
      </c>
      <c r="D198" s="9" t="s">
        <v>1679</v>
      </c>
      <c r="E198" s="9" t="s">
        <v>22</v>
      </c>
      <c r="F198" s="9" t="s">
        <v>340</v>
      </c>
      <c r="G198" s="12">
        <v>40597904</v>
      </c>
      <c r="H198" s="9" t="s">
        <v>1722</v>
      </c>
      <c r="I198" t="str">
        <f t="shared" si="3"/>
        <v>('NUÑEZ CALDERON ISABEL ALICIA','San Pedro De Pilpa Costado de la capilla','SUNAMPE','ZONA: SUNAMPE – SAN PILPA','939 309 903','40597904','F1'),</v>
      </c>
    </row>
    <row r="199" spans="1:9">
      <c r="A199" s="2">
        <v>231</v>
      </c>
      <c r="B199" s="9" t="s">
        <v>327</v>
      </c>
      <c r="C199" s="9" t="s">
        <v>328</v>
      </c>
      <c r="D199" s="9" t="s">
        <v>1679</v>
      </c>
      <c r="E199" s="9" t="s">
        <v>71</v>
      </c>
      <c r="F199" s="9">
        <v>936451639</v>
      </c>
      <c r="G199" s="12">
        <v>40607609</v>
      </c>
      <c r="H199" s="9" t="s">
        <v>1722</v>
      </c>
      <c r="I199" t="str">
        <f t="shared" si="3"/>
        <v>('GARCIA URIBE GIOVANNY ALEXIS','Av. Primavera 724 - Sunampe  Ref:(A dos casas del Rest. Mar Verde)','SUNAMPE','ZONA: SUNAMPE – SANTA FE','936451639','40607609','F1'),</v>
      </c>
    </row>
    <row r="200" spans="1:9">
      <c r="A200" s="2">
        <v>233</v>
      </c>
      <c r="B200" s="9" t="s">
        <v>1022</v>
      </c>
      <c r="C200" s="9" t="s">
        <v>1023</v>
      </c>
      <c r="D200" s="9" t="s">
        <v>1679</v>
      </c>
      <c r="E200" s="9" t="s">
        <v>718</v>
      </c>
      <c r="F200" s="9">
        <v>923694440</v>
      </c>
      <c r="G200" s="12">
        <v>40679555</v>
      </c>
      <c r="H200" s="9" t="s">
        <v>1722</v>
      </c>
      <c r="I200" t="str">
        <f t="shared" si="3"/>
        <v>('NAPA MARTINEZ MARIA','CL. VICTOR RAUL HAYA DE LA TORRE MZ. K LT. 27 - CHACARITA - SUNAMPE','SUNAMPE','ZONA: SUNAMPE – CHACARITA','923694440','40679555','F1'),</v>
      </c>
    </row>
    <row r="201" spans="1:9">
      <c r="A201" s="2">
        <v>234</v>
      </c>
      <c r="B201" s="9" t="s">
        <v>1696</v>
      </c>
      <c r="C201" s="9" t="s">
        <v>1465</v>
      </c>
      <c r="D201" s="9" t="s">
        <v>1679</v>
      </c>
      <c r="E201" s="9" t="s">
        <v>5</v>
      </c>
      <c r="F201" s="9">
        <v>961009005</v>
      </c>
      <c r="G201" s="12">
        <v>40730622</v>
      </c>
      <c r="H201" s="9" t="s">
        <v>1722</v>
      </c>
      <c r="I201" t="str">
        <f t="shared" si="3"/>
        <v>('LILIAM MELCHORITA HERRERA BELLEZA ','SANTA ROSA , SUNAMPE COSTADO DE PANADERIA JJ','SUNAMPE','ZONA: SUNAMPE – SANTA ROSA','961009005','40730622','F1'),</v>
      </c>
    </row>
    <row r="202" spans="1:9">
      <c r="A202" s="2">
        <v>235</v>
      </c>
      <c r="B202" s="9" t="s">
        <v>1651</v>
      </c>
      <c r="C202" s="9" t="s">
        <v>1652</v>
      </c>
      <c r="D202" s="9" t="s">
        <v>1679</v>
      </c>
      <c r="E202" s="9" t="s">
        <v>1642</v>
      </c>
      <c r="F202" s="9">
        <v>933815652</v>
      </c>
      <c r="G202" s="12">
        <v>40753258</v>
      </c>
      <c r="H202" s="9" t="s">
        <v>1722</v>
      </c>
      <c r="I202" t="str">
        <f t="shared" si="3"/>
        <v>('ALMEYDA ESTEBAN ANA MARIA','Av.Fatima 211','SUNAMPE','Zona: Sunampe','933815652','40753258','F1'),</v>
      </c>
    </row>
    <row r="203" spans="1:9">
      <c r="A203" s="2">
        <v>236</v>
      </c>
      <c r="B203" s="9" t="s">
        <v>414</v>
      </c>
      <c r="C203" s="9" t="s">
        <v>415</v>
      </c>
      <c r="D203" s="9" t="s">
        <v>1680</v>
      </c>
      <c r="E203" s="9" t="s">
        <v>334</v>
      </c>
      <c r="F203" s="9">
        <v>933716900</v>
      </c>
      <c r="G203" s="12">
        <v>40798009</v>
      </c>
      <c r="H203" s="9" t="s">
        <v>1722</v>
      </c>
      <c r="I203" t="str">
        <f t="shared" si="3"/>
        <v>('JANAMPA QUISPE MARISOL','Condorillo Mz. I lt. 18','CHINCHA ALTA','ZONA: CONDORILLO PARTE BAJA','933716900','40798009','F1'),</v>
      </c>
    </row>
    <row r="204" spans="1:9">
      <c r="A204" s="2">
        <v>237</v>
      </c>
      <c r="B204" s="9" t="s">
        <v>401</v>
      </c>
      <c r="C204" s="9" t="s">
        <v>402</v>
      </c>
      <c r="D204" s="9" t="s">
        <v>1679</v>
      </c>
      <c r="E204" s="9" t="s">
        <v>135</v>
      </c>
      <c r="F204" s="9">
        <v>956287582</v>
      </c>
      <c r="G204" s="12">
        <v>40803237</v>
      </c>
      <c r="H204" s="9" t="s">
        <v>1733</v>
      </c>
      <c r="I204" t="str">
        <f t="shared" si="3"/>
        <v>('AYBAR VALENCIA MARIN','Calle san jose Mz. H Lt. 05 Huaca grande','SUNAMPE','ZONA: SUNAMPE – HUACA GRANDE','956287582','40803237','F2'),</v>
      </c>
    </row>
    <row r="205" spans="1:9">
      <c r="A205" s="2">
        <v>238</v>
      </c>
      <c r="B205" s="9" t="s">
        <v>1016</v>
      </c>
      <c r="C205" s="9" t="s">
        <v>1017</v>
      </c>
      <c r="D205" s="9" t="s">
        <v>1681</v>
      </c>
      <c r="E205" s="9" t="s">
        <v>317</v>
      </c>
      <c r="F205" s="9" t="s">
        <v>1018</v>
      </c>
      <c r="G205" s="12">
        <v>40813108</v>
      </c>
      <c r="H205" s="9" t="s">
        <v>1733</v>
      </c>
      <c r="I205" t="str">
        <f t="shared" si="3"/>
        <v>('SARAVIA TORRES TERESA YSABEL','CL. LA PALMA N° 114, TOMA DE CARRIZO - GROCIO PRADO','GROCIO PRADO','ZONA: GROCIO - EL PORVENIR','951 679 716','40813108','F2'),</v>
      </c>
    </row>
    <row r="206" spans="1:9">
      <c r="A206" s="2">
        <v>240</v>
      </c>
      <c r="B206" s="9" t="s">
        <v>1186</v>
      </c>
      <c r="C206" s="9" t="s">
        <v>1187</v>
      </c>
      <c r="D206" s="9" t="s">
        <v>1680</v>
      </c>
      <c r="E206" s="9" t="s">
        <v>27</v>
      </c>
      <c r="F206" s="9">
        <v>936199249</v>
      </c>
      <c r="G206" s="12">
        <v>40845052</v>
      </c>
      <c r="H206" s="9" t="s">
        <v>1722</v>
      </c>
      <c r="I206" t="str">
        <f t="shared" si="3"/>
        <v>('CLEMENTE VILA MIGUEL ANGEL','PSJ SANTA ROSA NRO. S/N - CHINCHA ALTA','CHINCHA ALTA','ZONA: CRUZ BLANCA PARTE BAJA','936199249','40845052','F1'),</v>
      </c>
    </row>
    <row r="207" spans="1:9">
      <c r="A207" s="2">
        <v>241</v>
      </c>
      <c r="B207" s="9" t="s">
        <v>985</v>
      </c>
      <c r="C207" s="9" t="s">
        <v>986</v>
      </c>
      <c r="D207" s="9" t="s">
        <v>1679</v>
      </c>
      <c r="E207" s="9" t="s">
        <v>36</v>
      </c>
      <c r="F207" s="9">
        <v>902712199</v>
      </c>
      <c r="G207" s="12">
        <v>40860292</v>
      </c>
      <c r="H207" s="9" t="s">
        <v>1722</v>
      </c>
      <c r="I207" t="str">
        <f t="shared" si="3"/>
        <v>('NAPA CASTILLA GUSTAVO ANTONIO','PSJ. EL MILAGRO S/N, LOMO LARGO - SUNAMPE','SUNAMPE','ZONA: SUNAMPE – PARAISO','902712199','40860292','F1'),</v>
      </c>
    </row>
    <row r="208" spans="1:9">
      <c r="A208" s="2">
        <v>242</v>
      </c>
      <c r="B208" s="9" t="s">
        <v>1286</v>
      </c>
      <c r="C208" s="9" t="s">
        <v>1287</v>
      </c>
      <c r="D208" s="9" t="s">
        <v>1682</v>
      </c>
      <c r="E208" s="9" t="s">
        <v>846</v>
      </c>
      <c r="F208" s="9">
        <v>932904801</v>
      </c>
      <c r="G208" s="12">
        <v>40866289</v>
      </c>
      <c r="H208" s="9" t="s">
        <v>1722</v>
      </c>
      <c r="I208" t="str">
        <f t="shared" si="3"/>
        <v>('CENTENO VALENCIA FABIO QUICO','AA-HH. EL SALVADOR MZ. B LT. 16 - PUEBLO NUEVO','PUEBLO NUEVO','ZONA: PUEBLO - SALVADOR','932904801','40866289','F1'),</v>
      </c>
    </row>
    <row r="209" spans="1:9">
      <c r="A209" s="2">
        <v>243</v>
      </c>
      <c r="B209" s="9" t="s">
        <v>1647</v>
      </c>
      <c r="C209" s="9" t="s">
        <v>1648</v>
      </c>
      <c r="D209" s="9" t="s">
        <v>1679</v>
      </c>
      <c r="E209" s="9" t="s">
        <v>1642</v>
      </c>
      <c r="F209" s="9">
        <v>902650710</v>
      </c>
      <c r="G209" s="12">
        <v>40870868</v>
      </c>
      <c r="H209" s="9" t="s">
        <v>1733</v>
      </c>
      <c r="I209" t="str">
        <f t="shared" si="3"/>
        <v>('ROJAS RAMOS KARINA','Av. Fatima S/N, Psj Rojas- Sunampe','SUNAMPE','Zona: Sunampe','902650710','40870868','F2'),</v>
      </c>
    </row>
    <row r="210" spans="1:9">
      <c r="A210" s="2">
        <v>244</v>
      </c>
      <c r="B210" s="9" t="s">
        <v>1140</v>
      </c>
      <c r="C210" s="9" t="s">
        <v>1141</v>
      </c>
      <c r="D210" s="9" t="s">
        <v>1682</v>
      </c>
      <c r="E210" s="9" t="s">
        <v>1106</v>
      </c>
      <c r="F210" s="9" t="s">
        <v>1142</v>
      </c>
      <c r="G210" s="12">
        <v>40905473</v>
      </c>
      <c r="H210" s="9" t="s">
        <v>1722</v>
      </c>
      <c r="I210" t="str">
        <f t="shared" si="3"/>
        <v>('MARTINEZ VILLAR EPIFANIA CLEMENCIA','UPIS SAN ANDRES MZ. A - LT. 06 - PUEBLO NUEVO - CHINCHA','PUEBLO NUEVO','ZONA: PUEBLO - TECHO PROPIO','971 615 965','40905473','F1'),</v>
      </c>
    </row>
    <row r="211" spans="1:9">
      <c r="A211" s="2">
        <v>245</v>
      </c>
      <c r="B211" s="9" t="s">
        <v>149</v>
      </c>
      <c r="C211" s="9" t="s">
        <v>150</v>
      </c>
      <c r="D211" s="9" t="s">
        <v>1679</v>
      </c>
      <c r="E211" s="9" t="s">
        <v>135</v>
      </c>
      <c r="F211" s="9">
        <v>964901936</v>
      </c>
      <c r="G211" s="12">
        <v>40956555</v>
      </c>
      <c r="H211" s="9" t="s">
        <v>1722</v>
      </c>
      <c r="I211" t="str">
        <f t="shared" si="3"/>
        <v>('PACHAS LEVANO PATRICIA DEL PILAR','HUACA GRANDE - SUNAMPE','SUNAMPE','ZONA: SUNAMPE – HUACA GRANDE','964901936','40956555','F1'),</v>
      </c>
    </row>
    <row r="212" spans="1:9">
      <c r="A212" s="2">
        <v>246</v>
      </c>
      <c r="B212" s="9" t="s">
        <v>1168</v>
      </c>
      <c r="C212" s="9" t="s">
        <v>1169</v>
      </c>
      <c r="D212" s="9" t="s">
        <v>1679</v>
      </c>
      <c r="E212" s="9" t="s">
        <v>718</v>
      </c>
      <c r="F212" s="9">
        <v>962278152</v>
      </c>
      <c r="G212" s="12">
        <v>40956921</v>
      </c>
      <c r="H212" s="9" t="s">
        <v>1722</v>
      </c>
      <c r="I212" t="str">
        <f t="shared" si="3"/>
        <v>('TASAYCO LEVANO MIGUEL ANGEL','PSJ. LOS ANGELES S/N - C.P. MINA DE ORO - SUNAMPE','SUNAMPE','ZONA: SUNAMPE – CHACARITA','962278152','40956921','F1'),</v>
      </c>
    </row>
    <row r="213" spans="1:9">
      <c r="A213" s="2">
        <v>247</v>
      </c>
      <c r="B213" s="9" t="s">
        <v>953</v>
      </c>
      <c r="C213" s="9" t="s">
        <v>954</v>
      </c>
      <c r="D213" s="9" t="s">
        <v>1679</v>
      </c>
      <c r="E213" s="9" t="s">
        <v>106</v>
      </c>
      <c r="F213" s="9">
        <v>983112493</v>
      </c>
      <c r="G213" s="12">
        <v>40969839</v>
      </c>
      <c r="H213" s="9" t="s">
        <v>1722</v>
      </c>
      <c r="I213" t="str">
        <f t="shared" si="3"/>
        <v>('CUEVA RICOPA SEGUNDO DAVID','CC.PP. MINA DE ORO MZ. B LT.27 - SUNAMPE','SUNAMPE','ZONA: SUNAMPE - MINA DE ORO','983112493','40969839','F1'),</v>
      </c>
    </row>
    <row r="214" spans="1:9">
      <c r="A214" s="2">
        <v>251</v>
      </c>
      <c r="B214" s="9" t="s">
        <v>286</v>
      </c>
      <c r="C214" s="9" t="s">
        <v>287</v>
      </c>
      <c r="D214" s="9" t="s">
        <v>1680</v>
      </c>
      <c r="E214" s="9" t="s">
        <v>19</v>
      </c>
      <c r="F214" s="9">
        <v>960490261</v>
      </c>
      <c r="G214" s="12">
        <v>41008421</v>
      </c>
      <c r="H214" s="9" t="s">
        <v>1722</v>
      </c>
      <c r="I214" t="str">
        <f t="shared" si="3"/>
        <v>('MAGALLANES LUDEÑA ALEX','Av. Alva maurtua 5ta cuadra','CHINCHA ALTA','ZONA: CRUZ BLANCA PARTE ALTA oruro','960490261','41008421','F1'),</v>
      </c>
    </row>
    <row r="215" spans="1:9">
      <c r="A215" s="2">
        <v>252</v>
      </c>
      <c r="B215" s="9" t="s">
        <v>1091</v>
      </c>
      <c r="C215" s="9" t="s">
        <v>1092</v>
      </c>
      <c r="D215" s="9" t="s">
        <v>1681</v>
      </c>
      <c r="E215" s="9" t="s">
        <v>11</v>
      </c>
      <c r="F215" s="9" t="s">
        <v>1093</v>
      </c>
      <c r="G215" s="12">
        <v>41075262</v>
      </c>
      <c r="H215" s="9" t="s">
        <v>1722</v>
      </c>
      <c r="I215" t="str">
        <f t="shared" si="3"/>
        <v>('QUISPE PACHAS RONNY PAUL','PROL. JUAN CASTILLA RONCERO N° LT 3 B, EL PORVENIR - GROCIO PRADO','GROCIO PRADO','ZONA: GROCIO - MEJILLONEROS','994 980 680','41075262','F1'),</v>
      </c>
    </row>
    <row r="216" spans="1:9">
      <c r="A216" s="2">
        <v>253</v>
      </c>
      <c r="B216" s="9" t="s">
        <v>409</v>
      </c>
      <c r="C216" s="9" t="s">
        <v>410</v>
      </c>
      <c r="D216" s="9" t="s">
        <v>1679</v>
      </c>
      <c r="E216" s="9" t="s">
        <v>135</v>
      </c>
      <c r="F216" s="9">
        <v>976790809</v>
      </c>
      <c r="G216" s="12">
        <v>41096335</v>
      </c>
      <c r="H216" s="9" t="s">
        <v>1722</v>
      </c>
      <c r="I216" t="str">
        <f t="shared" si="3"/>
        <v>('VILLAR CASTILLO GUILIANA BERENIZ','Av Las Nazarenas 370-Huaca grande - Sunampe','SUNAMPE','ZONA: SUNAMPE – HUACA GRANDE','976790809','41096335','F1'),</v>
      </c>
    </row>
    <row r="217" spans="1:9">
      <c r="A217" s="2">
        <v>254</v>
      </c>
      <c r="B217" s="9" t="s">
        <v>574</v>
      </c>
      <c r="C217" s="9" t="s">
        <v>575</v>
      </c>
      <c r="D217" s="9" t="s">
        <v>1679</v>
      </c>
      <c r="E217" s="9" t="s">
        <v>22</v>
      </c>
      <c r="F217" s="9">
        <v>969553656</v>
      </c>
      <c r="G217" s="12">
        <v>41112617</v>
      </c>
      <c r="H217" s="9" t="s">
        <v>1722</v>
      </c>
      <c r="I217" t="str">
        <f t="shared" si="3"/>
        <v>('HUAMAN VILLA CARLOS ALBERTO','Calle san vicente ferrer parada de los amigos nº 300 int. 5 - sunampe','SUNAMPE','ZONA: SUNAMPE – SAN PILPA','969553656','41112617','F1'),</v>
      </c>
    </row>
    <row r="218" spans="1:9">
      <c r="A218" s="2">
        <v>255</v>
      </c>
      <c r="B218" s="9" t="s">
        <v>1165</v>
      </c>
      <c r="C218" s="9" t="s">
        <v>1166</v>
      </c>
      <c r="D218" s="9" t="s">
        <v>1682</v>
      </c>
      <c r="E218" s="9" t="s">
        <v>1106</v>
      </c>
      <c r="F218" s="9">
        <v>995352283</v>
      </c>
      <c r="G218" s="12">
        <v>41114586</v>
      </c>
      <c r="H218" s="9" t="s">
        <v>1722</v>
      </c>
      <c r="I218" t="str">
        <f t="shared" si="3"/>
        <v>('GOITIA PEREZ YHONSONN','PSJ. SAN COSME Nª 185, CALLE ROSARIO 7TA CDRA - CHINCHA ALTA','PUEBLO NUEVO','ZONA: PUEBLO - TECHO PROPIO','995352283','41114586','F1'),</v>
      </c>
    </row>
    <row r="219" spans="1:9">
      <c r="A219" s="2">
        <v>256</v>
      </c>
      <c r="B219" s="9" t="s">
        <v>490</v>
      </c>
      <c r="C219" s="9" t="s">
        <v>491</v>
      </c>
      <c r="D219" s="9" t="s">
        <v>1679</v>
      </c>
      <c r="E219" s="9" t="s">
        <v>106</v>
      </c>
      <c r="F219" s="9">
        <v>906520807</v>
      </c>
      <c r="G219" s="12">
        <v>41130761</v>
      </c>
      <c r="H219" s="9" t="s">
        <v>1722</v>
      </c>
      <c r="I219" t="str">
        <f t="shared" si="3"/>
        <v>('MALLQUI ANAYA SALUSTIA','AA.HH. Mina de oro Mz. A lt. 10- Sunampe','SUNAMPE','ZONA: SUNAMPE - MINA DE ORO','906520807','41130761','F1'),</v>
      </c>
    </row>
    <row r="220" spans="1:9">
      <c r="A220" s="2">
        <v>257</v>
      </c>
      <c r="B220" s="9" t="s">
        <v>1693</v>
      </c>
      <c r="C220" s="9" t="s">
        <v>1148</v>
      </c>
      <c r="D220" s="9" t="s">
        <v>1682</v>
      </c>
      <c r="E220" s="9" t="s">
        <v>1106</v>
      </c>
      <c r="F220" s="9" t="s">
        <v>1149</v>
      </c>
      <c r="G220" s="12">
        <v>41135592</v>
      </c>
      <c r="H220" s="9" t="s">
        <v>1722</v>
      </c>
      <c r="I220" t="str">
        <f t="shared" si="3"/>
        <v>('HUANQUI TRILLO NAYADE SAIDA ','AV. UNION Nº 3A - LOS ALAMOS - PUEBLO NUEVO','PUEBLO NUEVO','ZONA: PUEBLO - TECHO PROPIO','960 169 072','41135592','F1'),</v>
      </c>
    </row>
    <row r="221" spans="1:9">
      <c r="A221" s="2">
        <v>258</v>
      </c>
      <c r="B221" s="9" t="s">
        <v>511</v>
      </c>
      <c r="C221" s="9" t="s">
        <v>512</v>
      </c>
      <c r="D221" s="9" t="s">
        <v>1679</v>
      </c>
      <c r="E221" s="9" t="s">
        <v>8</v>
      </c>
      <c r="F221" s="9" t="s">
        <v>513</v>
      </c>
      <c r="G221" s="12">
        <v>41159105</v>
      </c>
      <c r="H221" s="9" t="s">
        <v>1722</v>
      </c>
      <c r="I221" t="str">
        <f t="shared" si="3"/>
        <v>('ROJAS MAGALLANES OLGA','Av. Emancipación 390 - Sunampe Ref: frente al local Venture','SUNAMPE','ZONA: SUNAMPE – COLEGIO','900 544 587','41159105','F1'),</v>
      </c>
    </row>
    <row r="222" spans="1:9">
      <c r="A222" s="2">
        <v>259</v>
      </c>
      <c r="B222" s="9" t="s">
        <v>38</v>
      </c>
      <c r="C222" s="9" t="s">
        <v>39</v>
      </c>
      <c r="D222" s="9" t="s">
        <v>1680</v>
      </c>
      <c r="E222" s="9" t="s">
        <v>19</v>
      </c>
      <c r="F222" s="9">
        <v>991427548</v>
      </c>
      <c r="G222" s="12">
        <v>41164414</v>
      </c>
      <c r="H222" s="9" t="s">
        <v>1733</v>
      </c>
      <c r="I222" t="str">
        <f t="shared" si="3"/>
        <v>('TORRES DEL AGUILA DORA ESTHER','Psj 2 de mayo #285-4 cruz Blanca Referencia espalda del colegio 22234','CHINCHA ALTA','ZONA: CRUZ BLANCA PARTE ALTA oruro','991427548','41164414','F2'),</v>
      </c>
    </row>
    <row r="223" spans="1:9">
      <c r="A223" s="2">
        <v>260</v>
      </c>
      <c r="B223" s="9" t="s">
        <v>534</v>
      </c>
      <c r="C223" s="9" t="s">
        <v>535</v>
      </c>
      <c r="D223" s="9" t="s">
        <v>1679</v>
      </c>
      <c r="E223" s="9" t="s">
        <v>22</v>
      </c>
      <c r="F223" s="9">
        <v>917812810</v>
      </c>
      <c r="G223" s="12">
        <v>41171884</v>
      </c>
      <c r="H223" s="9" t="s">
        <v>1722</v>
      </c>
      <c r="I223" t="str">
        <f t="shared" si="3"/>
        <v>('HUAMAN HUARAKCA CARMEN','SAN PEDRO DE PILPA LT 39 - LOMO LARGO - SUNAMPE','SUNAMPE','ZONA: SUNAMPE – SAN PILPA','917812810','41171884','F1'),</v>
      </c>
    </row>
    <row r="224" spans="1:9">
      <c r="A224" s="2">
        <v>261</v>
      </c>
      <c r="B224" s="9" t="s">
        <v>939</v>
      </c>
      <c r="C224" s="9" t="s">
        <v>940</v>
      </c>
      <c r="D224" s="9" t="s">
        <v>1679</v>
      </c>
      <c r="E224" s="9" t="s">
        <v>22</v>
      </c>
      <c r="F224" s="9" t="s">
        <v>941</v>
      </c>
      <c r="G224" s="12">
        <v>41181909</v>
      </c>
      <c r="H224" s="9" t="s">
        <v>1722</v>
      </c>
      <c r="I224" t="str">
        <f t="shared" si="3"/>
        <v>('HUAMAN SARAVIA WILLIAM MIGUEL','PSJ. SAN BLAS N° 160, BARRIO ALFONSO UGARTE - SUNAMPE','SUNAMPE','ZONA: SUNAMPE – SAN PILPA','922 854 023','41181909','F1'),</v>
      </c>
    </row>
    <row r="225" spans="1:9">
      <c r="A225" s="2">
        <v>262</v>
      </c>
      <c r="B225" s="9" t="s">
        <v>320</v>
      </c>
      <c r="C225" s="9" t="s">
        <v>321</v>
      </c>
      <c r="D225" s="9" t="s">
        <v>1679</v>
      </c>
      <c r="E225" s="9" t="s">
        <v>106</v>
      </c>
      <c r="F225" s="9" t="s">
        <v>322</v>
      </c>
      <c r="G225" s="12">
        <v>41191803</v>
      </c>
      <c r="H225" s="9" t="s">
        <v>1722</v>
      </c>
      <c r="I225" t="str">
        <f t="shared" si="3"/>
        <v>('TIPISMANA QUISPE RAMON DANIEL','AA.HH Mina de Oro PsJ. Los jazmines S/N','SUNAMPE','ZONA: SUNAMPE - MINA DE ORO','981 088 324','41191803','F1'),</v>
      </c>
    </row>
    <row r="226" spans="1:9">
      <c r="A226" s="2">
        <v>263</v>
      </c>
      <c r="B226" s="9" t="s">
        <v>1385</v>
      </c>
      <c r="C226" s="9" t="s">
        <v>1386</v>
      </c>
      <c r="D226" s="9" t="s">
        <v>1680</v>
      </c>
      <c r="E226" s="9" t="s">
        <v>27</v>
      </c>
      <c r="F226" s="9">
        <v>987136251</v>
      </c>
      <c r="G226" s="12">
        <v>41240115</v>
      </c>
      <c r="H226" s="9" t="s">
        <v>1722</v>
      </c>
      <c r="I226" t="str">
        <f t="shared" si="3"/>
        <v>('BLANCA NELLY MESIAS MAGALLANES','ALVA MAURTUA MZ. B - LT. 12 - CRUZ BLANCA - CHINCHA ALTA','CHINCHA ALTA','ZONA: CRUZ BLANCA PARTE BAJA','987136251','41240115','F1'),</v>
      </c>
    </row>
    <row r="227" spans="1:9">
      <c r="A227" s="2">
        <v>264</v>
      </c>
      <c r="B227" s="9" t="s">
        <v>1630</v>
      </c>
      <c r="C227" s="9" t="s">
        <v>1631</v>
      </c>
      <c r="D227" s="9" t="s">
        <v>1683</v>
      </c>
      <c r="E227" s="9" t="s">
        <v>1627</v>
      </c>
      <c r="F227" s="9">
        <v>976916535</v>
      </c>
      <c r="G227" s="12">
        <v>41256038</v>
      </c>
      <c r="H227" s="9" t="s">
        <v>1733</v>
      </c>
      <c r="I227" t="str">
        <f t="shared" si="3"/>
        <v>('PACHAS TIPISMANA ELIA','MZNA R Nro. Puerta 9C C.P. El Pedregal CHINCHA BAJA Ref: frente al pozo de semapach','TAMBO DE MORA','Zona: Tambo de Mora 1','976916535','41256038','F2'),</v>
      </c>
    </row>
    <row r="228" spans="1:9">
      <c r="A228" s="2">
        <v>265</v>
      </c>
      <c r="B228" s="9" t="s">
        <v>509</v>
      </c>
      <c r="C228" s="9" t="s">
        <v>510</v>
      </c>
      <c r="D228" s="9" t="s">
        <v>1679</v>
      </c>
      <c r="E228" s="9" t="s">
        <v>36</v>
      </c>
      <c r="F228" s="9">
        <v>924052883</v>
      </c>
      <c r="G228" s="12">
        <v>41256049</v>
      </c>
      <c r="H228" s="9" t="s">
        <v>1722</v>
      </c>
      <c r="I228" t="str">
        <f t="shared" si="3"/>
        <v>('GONZALES ATUNCAR MARIA VICTORIA','CALLE LOS ANGELES N368 - LOMO LARGO - SUNAMPE','SUNAMPE','ZONA: SUNAMPE – PARAISO','924052883','41256049','F1'),</v>
      </c>
    </row>
    <row r="229" spans="1:9">
      <c r="A229" s="2">
        <v>266</v>
      </c>
      <c r="B229" s="9" t="s">
        <v>1401</v>
      </c>
      <c r="C229" s="9" t="s">
        <v>1402</v>
      </c>
      <c r="D229" s="9" t="s">
        <v>1682</v>
      </c>
      <c r="E229" s="9" t="s">
        <v>1383</v>
      </c>
      <c r="F229" s="9">
        <v>956560777</v>
      </c>
      <c r="G229" s="12">
        <v>41286561</v>
      </c>
      <c r="H229" s="9" t="s">
        <v>1722</v>
      </c>
      <c r="I229" t="str">
        <f t="shared" si="3"/>
        <v>('PHAMELA ELUVINA VILCAPUMA HUAMAN','AA.HH. LAS ROCAS MZ. A - LT. 06 - PUEBLO NUEVO','PUEBLO NUEVO','ZONA: PUEBLO - SATELITE - ROCAS','956560777','41286561','F1'),</v>
      </c>
    </row>
    <row r="230" spans="1:9">
      <c r="A230" s="2">
        <v>267</v>
      </c>
      <c r="B230" s="9" t="s">
        <v>84</v>
      </c>
      <c r="C230" s="9" t="s">
        <v>85</v>
      </c>
      <c r="D230" s="9" t="s">
        <v>1680</v>
      </c>
      <c r="E230" s="9" t="s">
        <v>27</v>
      </c>
      <c r="F230" s="9">
        <v>984262279</v>
      </c>
      <c r="G230" s="12">
        <v>41300828</v>
      </c>
      <c r="H230" s="9" t="s">
        <v>1722</v>
      </c>
      <c r="I230" t="str">
        <f t="shared" si="3"/>
        <v>('MAGALLANES TASAYCO LUIS RAUL','AV. UNION SANTA ROSA N103-18 - CRUZ BLANCA','CHINCHA ALTA','ZONA: CRUZ BLANCA PARTE BAJA','984262279','41300828','F1'),</v>
      </c>
    </row>
    <row r="231" spans="1:9">
      <c r="A231" s="2">
        <v>269</v>
      </c>
      <c r="B231" s="9" t="s">
        <v>1224</v>
      </c>
      <c r="C231" s="9" t="s">
        <v>1225</v>
      </c>
      <c r="D231" s="9" t="s">
        <v>1679</v>
      </c>
      <c r="E231" s="9" t="s">
        <v>36</v>
      </c>
      <c r="F231" s="9" t="s">
        <v>1226</v>
      </c>
      <c r="G231" s="12">
        <v>41334643</v>
      </c>
      <c r="H231" s="9" t="s">
        <v>1722</v>
      </c>
      <c r="I231" t="str">
        <f t="shared" si="3"/>
        <v>('LOPEZ YATACO YENY YOLANDA','PSJ. LA FRONTERA Nª 150 - C.P. LOMO LARGO - SUNAMPE','SUNAMPE','ZONA: SUNAMPE – PARAISO','937 037 075','41334643','F1'),</v>
      </c>
    </row>
    <row r="232" spans="1:9">
      <c r="A232" s="2">
        <v>272</v>
      </c>
      <c r="B232" s="9" t="s">
        <v>507</v>
      </c>
      <c r="C232" s="9" t="s">
        <v>508</v>
      </c>
      <c r="D232" s="9" t="s">
        <v>1679</v>
      </c>
      <c r="E232" s="9" t="s">
        <v>36</v>
      </c>
      <c r="F232" s="9">
        <v>912389935</v>
      </c>
      <c r="G232" s="12">
        <v>41394395</v>
      </c>
      <c r="H232" s="9" t="s">
        <v>1722</v>
      </c>
      <c r="I232" t="str">
        <f t="shared" si="3"/>
        <v>('MAGALLANES ALMEYDA VICTOR','Av. Paraiso Lomo largo, psj. Emeterio 151 - Sunampe','SUNAMPE','ZONA: SUNAMPE – PARAISO','912389935','41394395','F1'),</v>
      </c>
    </row>
    <row r="233" spans="1:9">
      <c r="A233" s="2">
        <v>273</v>
      </c>
      <c r="B233" s="9" t="s">
        <v>1377</v>
      </c>
      <c r="C233" s="9" t="s">
        <v>1378</v>
      </c>
      <c r="D233" s="9" t="s">
        <v>1679</v>
      </c>
      <c r="E233" s="9" t="s">
        <v>230</v>
      </c>
      <c r="F233" s="9">
        <v>955462278</v>
      </c>
      <c r="G233" s="12">
        <v>41396255</v>
      </c>
      <c r="H233" s="9" t="s">
        <v>1722</v>
      </c>
      <c r="I233" t="str">
        <f t="shared" si="3"/>
        <v>('MATIAS ALMEYDA ROXANA ELIZABETH','CALLE LIMA 168A - SUNAMPE','SUNAMPE','ZONA: SUNAMPE – SIMON','955462278','41396255','F1'),</v>
      </c>
    </row>
    <row r="234" spans="1:9">
      <c r="A234" s="2">
        <v>274</v>
      </c>
      <c r="B234" s="9" t="s">
        <v>505</v>
      </c>
      <c r="C234" s="9" t="s">
        <v>506</v>
      </c>
      <c r="D234" s="9" t="s">
        <v>1679</v>
      </c>
      <c r="E234" s="9" t="s">
        <v>36</v>
      </c>
      <c r="F234" s="9">
        <v>993059870</v>
      </c>
      <c r="G234" s="12">
        <v>41398673</v>
      </c>
      <c r="H234" s="9" t="s">
        <v>1722</v>
      </c>
      <c r="I234" t="str">
        <f t="shared" si="3"/>
        <v>('ALMEYDA PACHAS MAGALY TRIPSY','Calle San Antonio125 lomo largo','SUNAMPE','ZONA: SUNAMPE – PARAISO','993059870','41398673','F1'),</v>
      </c>
    </row>
    <row r="235" spans="1:9">
      <c r="A235" s="2">
        <v>275</v>
      </c>
      <c r="B235" s="9" t="s">
        <v>1690</v>
      </c>
      <c r="C235" s="9" t="s">
        <v>1705</v>
      </c>
      <c r="D235" s="9" t="s">
        <v>1679</v>
      </c>
      <c r="E235" s="9" t="s">
        <v>106</v>
      </c>
      <c r="F235" s="9" t="s">
        <v>1712</v>
      </c>
      <c r="G235" s="12">
        <v>41405135</v>
      </c>
      <c r="H235" s="9" t="s">
        <v>1722</v>
      </c>
      <c r="I235" t="str">
        <f t="shared" si="3"/>
        <v>('ROJAS PACHAS YOVANA VANESA','PSJ. SUCRE Nº 470, ESPALDA DE MINA DE ORO - SUNAMPE','SUNAMPE','ZONA: SUNAMPE - MINA DE ORO','904 410 306','41405135','F1'),</v>
      </c>
    </row>
    <row r="236" spans="1:9">
      <c r="A236" s="2">
        <v>276</v>
      </c>
      <c r="B236" s="9" t="s">
        <v>114</v>
      </c>
      <c r="C236" s="9" t="s">
        <v>115</v>
      </c>
      <c r="D236" s="9" t="s">
        <v>1679</v>
      </c>
      <c r="E236" s="9" t="s">
        <v>36</v>
      </c>
      <c r="F236" s="9">
        <v>917631684</v>
      </c>
      <c r="G236" s="12">
        <v>41413801</v>
      </c>
      <c r="H236" s="9" t="s">
        <v>1722</v>
      </c>
      <c r="I236" t="str">
        <f t="shared" si="3"/>
        <v>('MARTINEZ QUIROGA ROMAIN VICTOR HUGO','Av. Primavera 130 - Lomo Largo -Sunampe','SUNAMPE','ZONA: SUNAMPE – PARAISO','917631684','41413801','F1'),</v>
      </c>
    </row>
    <row r="237" spans="1:9">
      <c r="A237" s="2">
        <v>277</v>
      </c>
      <c r="B237" s="9" t="s">
        <v>372</v>
      </c>
      <c r="C237" s="9" t="s">
        <v>373</v>
      </c>
      <c r="D237" s="9" t="s">
        <v>1680</v>
      </c>
      <c r="E237" s="9" t="s">
        <v>126</v>
      </c>
      <c r="F237" s="9">
        <v>923584871</v>
      </c>
      <c r="G237" s="12">
        <v>41440625</v>
      </c>
      <c r="H237" s="9" t="s">
        <v>1722</v>
      </c>
      <c r="I237" t="str">
        <f t="shared" si="3"/>
        <v>('GARCIA GARCIA JENY CECILIA','toma de cala lt. 12','CHINCHA ALTA','ZONA: CRUZ BLANCA VIRGEN CARMEN','923584871','41440625','F1'),</v>
      </c>
    </row>
    <row r="238" spans="1:9">
      <c r="A238" s="2">
        <v>278</v>
      </c>
      <c r="B238" s="9" t="s">
        <v>723</v>
      </c>
      <c r="C238" s="9" t="s">
        <v>724</v>
      </c>
      <c r="D238" s="9" t="s">
        <v>1679</v>
      </c>
      <c r="E238" s="9" t="s">
        <v>718</v>
      </c>
      <c r="F238" s="9" t="s">
        <v>725</v>
      </c>
      <c r="G238" s="12">
        <v>41445602</v>
      </c>
      <c r="H238" s="9" t="s">
        <v>1722</v>
      </c>
      <c r="I238" t="str">
        <f t="shared" si="3"/>
        <v>('PARIONA POMA LUIS ALBERTO','CALLE LAS FLORES S/N - CHACARITA','SUNAMPE','ZONA: SUNAMPE – CHACARITA','946 414 460','41445602','F1'),</v>
      </c>
    </row>
    <row r="239" spans="1:9">
      <c r="A239" s="2">
        <v>279</v>
      </c>
      <c r="B239" s="9" t="s">
        <v>1692</v>
      </c>
      <c r="C239" s="9" t="s">
        <v>1103</v>
      </c>
      <c r="D239" s="9" t="s">
        <v>1680</v>
      </c>
      <c r="E239" s="9" t="s">
        <v>99</v>
      </c>
      <c r="F239" s="9">
        <v>947102131</v>
      </c>
      <c r="G239" s="12">
        <v>41455781</v>
      </c>
      <c r="H239" s="9" t="s">
        <v>1722</v>
      </c>
      <c r="I239" t="str">
        <f t="shared" si="3"/>
        <v>('MENESES TASAYCO BLANCA MARIBEL ','CL. EL CARMEN N° 210 - CRUZ BLANCA - CHINCHA ALTA','CHINCHA ALTA','ZONA: CRUZ BLANCA CAMPO','947102131','41455781','F1'),</v>
      </c>
    </row>
    <row r="240" spans="1:9">
      <c r="A240" s="2">
        <v>280</v>
      </c>
      <c r="B240" s="9" t="s">
        <v>363</v>
      </c>
      <c r="C240" s="9" t="s">
        <v>364</v>
      </c>
      <c r="D240" s="9" t="s">
        <v>1681</v>
      </c>
      <c r="E240" s="9" t="s">
        <v>317</v>
      </c>
      <c r="F240" s="9" t="s">
        <v>365</v>
      </c>
      <c r="G240" s="12">
        <v>41509694</v>
      </c>
      <c r="H240" s="9" t="s">
        <v>1722</v>
      </c>
      <c r="I240" t="str">
        <f t="shared" si="3"/>
        <v>('CARBAJAL YATACO MIRTHA','Av. San Gregorio 105 (carrizo, paradero de motos)','GROCIO PRADO','ZONA: GROCIO - EL PORVENIR','906 877 348','41509694','F1'),</v>
      </c>
    </row>
    <row r="241" spans="1:9">
      <c r="A241" s="2">
        <v>281</v>
      </c>
      <c r="B241" s="9" t="s">
        <v>291</v>
      </c>
      <c r="C241" s="9" t="s">
        <v>292</v>
      </c>
      <c r="D241" s="9" t="s">
        <v>1681</v>
      </c>
      <c r="E241" s="9" t="s">
        <v>11</v>
      </c>
      <c r="F241" s="9">
        <v>960687397</v>
      </c>
      <c r="G241" s="12">
        <v>41525338</v>
      </c>
      <c r="H241" s="9" t="s">
        <v>1722</v>
      </c>
      <c r="I241" t="str">
        <f t="shared" si="3"/>
        <v>('GONZALES FUENTES JAVIER WILLIAM','Av. Nueva esperanza lote 24 - grocio prado','GROCIO PRADO','ZONA: GROCIO - MEJILLONEROS','960687397','41525338','F1'),</v>
      </c>
    </row>
    <row r="242" spans="1:9">
      <c r="A242" s="2">
        <v>282</v>
      </c>
      <c r="B242" s="9" t="s">
        <v>541</v>
      </c>
      <c r="C242" s="9" t="s">
        <v>542</v>
      </c>
      <c r="D242" s="9" t="s">
        <v>1680</v>
      </c>
      <c r="E242" s="9" t="s">
        <v>27</v>
      </c>
      <c r="F242" s="9">
        <v>980520938</v>
      </c>
      <c r="G242" s="12">
        <v>41536457</v>
      </c>
      <c r="H242" s="9" t="s">
        <v>1722</v>
      </c>
      <c r="I242" t="str">
        <f t="shared" si="3"/>
        <v>('MESIAS MAGALLANES ROBERT','Av. Unión n°107 Puerta 05 A , Centro Poblado Santa Rosa- Cruz Blanca','CHINCHA ALTA','ZONA: CRUZ BLANCA PARTE BAJA','980520938','41536457','F1'),</v>
      </c>
    </row>
    <row r="243" spans="1:9">
      <c r="A243" s="2">
        <v>283</v>
      </c>
      <c r="B243" s="9" t="s">
        <v>355</v>
      </c>
      <c r="C243" s="9" t="s">
        <v>356</v>
      </c>
      <c r="D243" s="9" t="s">
        <v>1680</v>
      </c>
      <c r="E243" s="9" t="s">
        <v>126</v>
      </c>
      <c r="F243" s="9" t="s">
        <v>357</v>
      </c>
      <c r="G243" s="12">
        <v>41538126</v>
      </c>
      <c r="H243" s="9" t="s">
        <v>1722</v>
      </c>
      <c r="I243" t="str">
        <f t="shared" si="3"/>
        <v>('TOVAR HUAMAN LIZ JESUS','Av.Los Arenales #268','CHINCHA ALTA','ZONA: CRUZ BLANCA VIRGEN CARMEN','945 506 447','41538126','F1'),</v>
      </c>
    </row>
    <row r="244" spans="1:9">
      <c r="A244" s="2">
        <v>284</v>
      </c>
      <c r="B244" s="9" t="s">
        <v>1318</v>
      </c>
      <c r="C244" s="9" t="s">
        <v>1319</v>
      </c>
      <c r="D244" s="9" t="s">
        <v>1680</v>
      </c>
      <c r="E244" s="9" t="s">
        <v>126</v>
      </c>
      <c r="F244" s="9">
        <v>965161138</v>
      </c>
      <c r="G244" s="12">
        <v>41538473</v>
      </c>
      <c r="H244" s="9" t="s">
        <v>1722</v>
      </c>
      <c r="I244" t="str">
        <f t="shared" si="3"/>
        <v>('ITURRIZAGA SULCA RUBEN','AA.HH. VIRGEN DEL CARMEN MZ I LT 24 - CHINCHA ALTA','CHINCHA ALTA','ZONA: CRUZ BLANCA VIRGEN CARMEN','965161138','41538473','F1'),</v>
      </c>
    </row>
    <row r="245" spans="1:9">
      <c r="A245" s="2">
        <v>285</v>
      </c>
      <c r="B245" s="9" t="s">
        <v>17</v>
      </c>
      <c r="C245" s="9" t="s">
        <v>18</v>
      </c>
      <c r="D245" s="9" t="s">
        <v>1680</v>
      </c>
      <c r="E245" s="9" t="s">
        <v>19</v>
      </c>
      <c r="F245" s="9">
        <v>945857289</v>
      </c>
      <c r="G245" s="12">
        <v>41576648</v>
      </c>
      <c r="H245" s="9" t="s">
        <v>1722</v>
      </c>
      <c r="I245" t="str">
        <f t="shared" si="3"/>
        <v>('TASAYCO MAGALLANES ALICIA MARIA','PSJ. DOS DE MAYO N°303 - CRUZ BLANCA','CHINCHA ALTA','ZONA: CRUZ BLANCA PARTE ALTA oruro','945857289','41576648','F1'),</v>
      </c>
    </row>
    <row r="246" spans="1:9">
      <c r="A246" s="2">
        <v>286</v>
      </c>
      <c r="B246" s="9" t="s">
        <v>708</v>
      </c>
      <c r="C246" s="9" t="s">
        <v>709</v>
      </c>
      <c r="D246" s="9" t="s">
        <v>1680</v>
      </c>
      <c r="E246" s="9" t="s">
        <v>710</v>
      </c>
      <c r="F246" s="9">
        <v>930275002</v>
      </c>
      <c r="G246" s="12">
        <v>41587522</v>
      </c>
      <c r="H246" s="9" t="s">
        <v>1722</v>
      </c>
      <c r="I246" t="str">
        <f t="shared" si="3"/>
        <v>('RAMOS ATUNCAR PATRICIA ARACELY','PSJ. DONAYRE N° 375 - CHINCHA ALTA','CHINCHA ALTA','ZONA: CHINCHA - AMERICA','930275002','41587522','F1'),</v>
      </c>
    </row>
    <row r="247" spans="1:9">
      <c r="A247" s="2">
        <v>287</v>
      </c>
      <c r="B247" s="9" t="s">
        <v>76</v>
      </c>
      <c r="C247" s="9" t="s">
        <v>77</v>
      </c>
      <c r="D247" s="9" t="s">
        <v>1679</v>
      </c>
      <c r="E247" s="9" t="s">
        <v>2</v>
      </c>
      <c r="F247" s="9">
        <v>936972485</v>
      </c>
      <c r="G247" s="12">
        <v>41615897</v>
      </c>
      <c r="H247" s="9" t="s">
        <v>1722</v>
      </c>
      <c r="I247" t="str">
        <f t="shared" si="3"/>
        <v>('ABURTO DE LA CRUZ CARMEN ROSA','SAN IGANCIO PASANDO  Cevicheria de san ignacio','SUNAMPE','ZONA: SUNAMPE – SAN IGNACIO','936972485','41615897','F1'),</v>
      </c>
    </row>
    <row r="248" spans="1:9">
      <c r="A248" s="2">
        <v>288</v>
      </c>
      <c r="B248" s="9" t="s">
        <v>1104</v>
      </c>
      <c r="C248" s="9" t="s">
        <v>1105</v>
      </c>
      <c r="D248" s="9" t="s">
        <v>1682</v>
      </c>
      <c r="E248" s="9" t="s">
        <v>1106</v>
      </c>
      <c r="F248" s="9">
        <v>945160889</v>
      </c>
      <c r="G248" s="12">
        <v>41637529</v>
      </c>
      <c r="H248" s="9" t="s">
        <v>1722</v>
      </c>
      <c r="I248" t="str">
        <f t="shared" si="3"/>
        <v>('QUISPE SANCHEZ LINO','UPIS MARIO BIGGIO MZ. D - LT. 02 - GROCIO PRADO','PUEBLO NUEVO','ZONA: PUEBLO - TECHO PROPIO','945160889','41637529','F1'),</v>
      </c>
    </row>
    <row r="249" spans="1:9">
      <c r="A249" s="2">
        <v>289</v>
      </c>
      <c r="B249" s="9" t="s">
        <v>566</v>
      </c>
      <c r="C249" s="9" t="s">
        <v>567</v>
      </c>
      <c r="D249" s="9" t="s">
        <v>1679</v>
      </c>
      <c r="E249" s="9" t="s">
        <v>36</v>
      </c>
      <c r="F249" s="9">
        <v>935084522</v>
      </c>
      <c r="G249" s="12">
        <v>41651018</v>
      </c>
      <c r="H249" s="9" t="s">
        <v>1722</v>
      </c>
      <c r="I249" t="str">
        <f t="shared" si="3"/>
        <v>('ATUNCAR NAPA ANA CECILIA','Av. Paraiso n° 48 - Sunampe','SUNAMPE','ZONA: SUNAMPE – PARAISO','935084522','41651018','F1'),</v>
      </c>
    </row>
    <row r="250" spans="1:9">
      <c r="A250" s="2">
        <v>290</v>
      </c>
      <c r="B250" s="9" t="s">
        <v>559</v>
      </c>
      <c r="C250" s="9" t="s">
        <v>560</v>
      </c>
      <c r="D250" s="9" t="s">
        <v>1679</v>
      </c>
      <c r="E250" s="9" t="s">
        <v>5</v>
      </c>
      <c r="F250" s="9" t="s">
        <v>561</v>
      </c>
      <c r="G250" s="12">
        <v>41676070</v>
      </c>
      <c r="H250" s="9" t="s">
        <v>1722</v>
      </c>
      <c r="I250" t="str">
        <f t="shared" si="3"/>
        <v>('LEVANO CANTO CARLOS ALBERTO','Av. la alameda nº 232 interior 5 - Sunampe','SUNAMPE','ZONA: SUNAMPE – SANTA ROSA','960 581 966','41676070','F1'),</v>
      </c>
    </row>
    <row r="251" spans="1:9">
      <c r="A251" s="2">
        <v>291</v>
      </c>
      <c r="B251" s="9" t="s">
        <v>237</v>
      </c>
      <c r="C251" s="9" t="s">
        <v>238</v>
      </c>
      <c r="D251" s="9" t="s">
        <v>1679</v>
      </c>
      <c r="E251" s="9" t="s">
        <v>36</v>
      </c>
      <c r="F251" s="9">
        <v>945964998</v>
      </c>
      <c r="G251" s="12">
        <v>41721338</v>
      </c>
      <c r="H251" s="9" t="s">
        <v>1722</v>
      </c>
      <c r="I251" t="str">
        <f t="shared" si="3"/>
        <v>('DE LA CRUZ MESIAS KARINA ORIELE','AV. Primavera 130','SUNAMPE','ZONA: SUNAMPE – PARAISO','945964998','41721338','F1'),</v>
      </c>
    </row>
    <row r="252" spans="1:9">
      <c r="A252" s="2">
        <v>292</v>
      </c>
      <c r="B252" s="9" t="s">
        <v>1449</v>
      </c>
      <c r="C252" s="9" t="s">
        <v>1450</v>
      </c>
      <c r="D252" s="9" t="s">
        <v>1679</v>
      </c>
      <c r="E252" s="9" t="s">
        <v>36</v>
      </c>
      <c r="F252" s="9">
        <v>964428233</v>
      </c>
      <c r="G252" s="12">
        <v>41730647</v>
      </c>
      <c r="H252" s="9" t="s">
        <v>1722</v>
      </c>
      <c r="I252" t="str">
        <f t="shared" si="3"/>
        <v>('CARMEN DEL ROSARIO DE LA CRUZ PEREZ','PSJE AMORETTI NRO. PUERTA 580 - SUNAMPE, ANTIGUO SUNAMPE','SUNAMPE','ZONA: SUNAMPE – PARAISO','964428233','41730647','F1'),</v>
      </c>
    </row>
    <row r="253" spans="1:9">
      <c r="A253" s="2">
        <v>293</v>
      </c>
      <c r="B253" s="9" t="s">
        <v>1109</v>
      </c>
      <c r="C253" s="9" t="s">
        <v>1110</v>
      </c>
      <c r="D253" s="9" t="s">
        <v>1679</v>
      </c>
      <c r="E253" s="9" t="s">
        <v>718</v>
      </c>
      <c r="F253" s="9">
        <v>941327977</v>
      </c>
      <c r="G253" s="12">
        <v>41730654</v>
      </c>
      <c r="H253" s="9" t="s">
        <v>1722</v>
      </c>
      <c r="I253" t="str">
        <f t="shared" si="3"/>
        <v>('CASTILLA MATEO JUAN CARLOS','AA.HH. JESUS MARIA Y JOSE Nº D-02 - CHINCHA ALTA','SUNAMPE','ZONA: SUNAMPE – CHACARITA','941327977','41730654','F1'),</v>
      </c>
    </row>
    <row r="254" spans="1:9">
      <c r="A254" s="2">
        <v>295</v>
      </c>
      <c r="B254" s="9" t="s">
        <v>204</v>
      </c>
      <c r="C254" s="9" t="s">
        <v>205</v>
      </c>
      <c r="D254" s="9" t="s">
        <v>1680</v>
      </c>
      <c r="E254" s="9" t="s">
        <v>19</v>
      </c>
      <c r="F254" s="9">
        <v>977873933</v>
      </c>
      <c r="G254" s="12">
        <v>41731879</v>
      </c>
      <c r="H254" s="9" t="s">
        <v>1722</v>
      </c>
      <c r="I254" t="str">
        <f t="shared" si="3"/>
        <v>('MARTINEZ MARTINEZ SONIA','cruz blanca -  psj napa','CHINCHA ALTA','ZONA: CRUZ BLANCA PARTE ALTA oruro','977873933','41731879','F1'),</v>
      </c>
    </row>
    <row r="255" spans="1:9">
      <c r="A255" s="2">
        <v>296</v>
      </c>
      <c r="B255" s="9" t="s">
        <v>1052</v>
      </c>
      <c r="C255" s="9" t="s">
        <v>1053</v>
      </c>
      <c r="D255" s="9" t="s">
        <v>1679</v>
      </c>
      <c r="E255" s="9" t="s">
        <v>14</v>
      </c>
      <c r="F255" s="9" t="s">
        <v>1714</v>
      </c>
      <c r="G255" s="12">
        <v>41748230</v>
      </c>
      <c r="H255" s="9" t="s">
        <v>1722</v>
      </c>
      <c r="I255" t="str">
        <f t="shared" si="3"/>
        <v>('ANGULO LOYOLA JHAN CARLOS','LUIS MASSARO EX PILPA - PLAZA CENTER CHINCHA - FRENTE A USJB STAND 210-D','SUNAMPE','ZONA: SUNAMPE – VILLA JULIA','998 308 628','41748230','F1'),</v>
      </c>
    </row>
    <row r="256" spans="1:9">
      <c r="A256" s="2">
        <v>297</v>
      </c>
      <c r="B256" s="9" t="s">
        <v>172</v>
      </c>
      <c r="C256" s="9" t="s">
        <v>173</v>
      </c>
      <c r="D256" s="9" t="s">
        <v>1679</v>
      </c>
      <c r="E256" s="9" t="s">
        <v>8</v>
      </c>
      <c r="F256" s="9" t="s">
        <v>174</v>
      </c>
      <c r="G256" s="12">
        <v>41764623</v>
      </c>
      <c r="H256" s="9" t="s">
        <v>1722</v>
      </c>
      <c r="I256" t="str">
        <f t="shared" si="3"/>
        <v>('CHUMBIAUCA ALMEYDA MARCELO','Av. Principal Cacerio Huaca Grande','SUNAMPE','ZONA: SUNAMPE – COLEGIO','933 396 143','41764623','F1'),</v>
      </c>
    </row>
    <row r="257" spans="1:9">
      <c r="A257" s="2">
        <v>298</v>
      </c>
      <c r="B257" s="9" t="s">
        <v>275</v>
      </c>
      <c r="C257" s="9" t="s">
        <v>276</v>
      </c>
      <c r="D257" s="9" t="s">
        <v>1679</v>
      </c>
      <c r="E257" s="9" t="s">
        <v>5</v>
      </c>
      <c r="F257" s="9">
        <v>989621952</v>
      </c>
      <c r="G257" s="12">
        <v>41784560</v>
      </c>
      <c r="H257" s="9" t="s">
        <v>1722</v>
      </c>
      <c r="I257" t="str">
        <f t="shared" si="3"/>
        <v>('ALMEYDA SARAVIA PEDRO FERNANDO','Calle Paso de Gomez nº 106- Sunampe Ref. Parte Baja o Rafichez','SUNAMPE','ZONA: SUNAMPE – SANTA ROSA','989621952','41784560','F1'),</v>
      </c>
    </row>
    <row r="258" spans="1:9">
      <c r="A258" s="2">
        <v>299</v>
      </c>
      <c r="B258" s="9" t="s">
        <v>441</v>
      </c>
      <c r="C258" s="9" t="s">
        <v>442</v>
      </c>
      <c r="D258" s="9" t="s">
        <v>1679</v>
      </c>
      <c r="E258" s="9" t="s">
        <v>36</v>
      </c>
      <c r="F258" s="9">
        <v>959920227</v>
      </c>
      <c r="G258" s="12">
        <v>41785064</v>
      </c>
      <c r="H258" s="9" t="s">
        <v>1722</v>
      </c>
      <c r="I258" t="str">
        <f t="shared" si="3"/>
        <v>('ALMEYDA MAGALLANES YSABEL','Av. Paraiso 24-6','SUNAMPE','ZONA: SUNAMPE – PARAISO','959920227','41785064','F1'),</v>
      </c>
    </row>
    <row r="259" spans="1:9">
      <c r="A259" s="2">
        <v>300</v>
      </c>
      <c r="B259" s="9" t="s">
        <v>636</v>
      </c>
      <c r="C259" s="9" t="s">
        <v>637</v>
      </c>
      <c r="D259" s="9" t="s">
        <v>1679</v>
      </c>
      <c r="E259" s="9" t="s">
        <v>2</v>
      </c>
      <c r="F259" s="9" t="s">
        <v>638</v>
      </c>
      <c r="G259" s="12">
        <v>41794523</v>
      </c>
      <c r="H259" s="9" t="s">
        <v>1733</v>
      </c>
      <c r="I259" t="str">
        <f t="shared" ref="I259:I322" si="4">"('"&amp;B259&amp;"','"&amp;C259&amp;"','"&amp;D259&amp;"','"&amp;E259&amp;"','"&amp;F259&amp;"','"&amp;G259&amp;"','"&amp;H259&amp;"'),"</f>
        <v>('MAGALLANES PEREZ ZOILA','Av. San Francisco 191 - San Ignacio - Sunampe','SUNAMPE','ZONA: SUNAMPE – SAN IGNACIO','941 295 671','41794523','F2'),</v>
      </c>
    </row>
    <row r="260" spans="1:9">
      <c r="A260" s="2">
        <v>301</v>
      </c>
      <c r="B260" s="9" t="s">
        <v>1027</v>
      </c>
      <c r="C260" s="9" t="s">
        <v>1028</v>
      </c>
      <c r="D260" s="9" t="s">
        <v>1679</v>
      </c>
      <c r="E260" s="9" t="s">
        <v>230</v>
      </c>
      <c r="F260" s="9">
        <v>943326467</v>
      </c>
      <c r="G260" s="12">
        <v>41834203</v>
      </c>
      <c r="H260" s="9" t="s">
        <v>1722</v>
      </c>
      <c r="I260" t="str">
        <f t="shared" si="4"/>
        <v>('ROJAS CONTRERAS CECILIA','AV. MONTERICO N° 405 - C.P. MONTE RICO - SUNAMPE (REF. PASANDO EL COLEGIO SIMON BOLIVAR)','SUNAMPE','ZONA: SUNAMPE – SIMON','943326467','41834203','F1'),</v>
      </c>
    </row>
    <row r="261" spans="1:9">
      <c r="A261" s="2">
        <v>303</v>
      </c>
      <c r="B261" s="9" t="s">
        <v>1123</v>
      </c>
      <c r="C261" s="9" t="s">
        <v>1124</v>
      </c>
      <c r="D261" s="9" t="s">
        <v>1682</v>
      </c>
      <c r="E261" s="9" t="s">
        <v>1106</v>
      </c>
      <c r="F261" s="9" t="s">
        <v>1125</v>
      </c>
      <c r="G261" s="12">
        <v>41854580</v>
      </c>
      <c r="H261" s="9" t="s">
        <v>1733</v>
      </c>
      <c r="I261" t="str">
        <f t="shared" si="4"/>
        <v>('MARTINEZ MINAYA HUGO ANDRES','URB. LOS VIÑEDOS MZ. R2 - LT. 07 - CHINCHA ALTA','PUEBLO NUEVO','ZONA: PUEBLO - TECHO PROPIO','974 636 321','41854580','F2'),</v>
      </c>
    </row>
    <row r="262" spans="1:9">
      <c r="A262" s="2">
        <v>304</v>
      </c>
      <c r="B262" s="9" t="s">
        <v>481</v>
      </c>
      <c r="C262" s="9" t="s">
        <v>482</v>
      </c>
      <c r="D262" s="9" t="s">
        <v>1679</v>
      </c>
      <c r="E262" s="9" t="s">
        <v>135</v>
      </c>
      <c r="F262" s="9">
        <v>902051563</v>
      </c>
      <c r="G262" s="12">
        <v>41869258</v>
      </c>
      <c r="H262" s="9" t="s">
        <v>1722</v>
      </c>
      <c r="I262" t="str">
        <f t="shared" si="4"/>
        <v>('ATUNCAR DE LA CRUZ VICTOR CESAR','Av. Fatima 363 - Sunampe','SUNAMPE','ZONA: SUNAMPE – HUACA GRANDE','902051563','41869258','F1'),</v>
      </c>
    </row>
    <row r="263" spans="1:9">
      <c r="A263" s="2">
        <v>305</v>
      </c>
      <c r="B263" s="9" t="s">
        <v>841</v>
      </c>
      <c r="C263" s="9" t="s">
        <v>842</v>
      </c>
      <c r="D263" s="9" t="s">
        <v>1680</v>
      </c>
      <c r="E263" s="9" t="s">
        <v>710</v>
      </c>
      <c r="F263" s="9" t="s">
        <v>843</v>
      </c>
      <c r="G263" s="12">
        <v>41872411</v>
      </c>
      <c r="H263" s="9" t="s">
        <v>1722</v>
      </c>
      <c r="I263" t="str">
        <f t="shared" si="4"/>
        <v>('DE LA CRUZ GONZALES KARINA HILDA','PSJ. BENAVIDES N° 138-04 - CERCADO CHINCHA ALTA (PROGRESO)','CHINCHA ALTA','ZONA: CHINCHA - AMERICA','946 307 544','41872411','F1'),</v>
      </c>
    </row>
    <row r="264" spans="1:9">
      <c r="A264" s="2">
        <v>306</v>
      </c>
      <c r="B264" s="9" t="s">
        <v>78</v>
      </c>
      <c r="C264" s="9" t="s">
        <v>79</v>
      </c>
      <c r="D264" s="9" t="s">
        <v>1680</v>
      </c>
      <c r="E264" s="9" t="s">
        <v>27</v>
      </c>
      <c r="F264" s="9">
        <v>947107155</v>
      </c>
      <c r="G264" s="12">
        <v>41874688</v>
      </c>
      <c r="H264" s="9" t="s">
        <v>1722</v>
      </c>
      <c r="I264" t="str">
        <f t="shared" si="4"/>
        <v>('BALLARTA BACA KATTY KARINA','Asoc. Civil virgen del carmen Mz. B lt. 13','CHINCHA ALTA','ZONA: CRUZ BLANCA PARTE BAJA','947107155','41874688','F1'),</v>
      </c>
    </row>
    <row r="265" spans="1:9">
      <c r="A265" s="2">
        <v>307</v>
      </c>
      <c r="B265" s="9" t="s">
        <v>783</v>
      </c>
      <c r="C265" s="9" t="s">
        <v>784</v>
      </c>
      <c r="D265" s="9" t="s">
        <v>1679</v>
      </c>
      <c r="E265" s="9" t="s">
        <v>36</v>
      </c>
      <c r="F265" s="9" t="s">
        <v>785</v>
      </c>
      <c r="G265" s="12">
        <v>41878632</v>
      </c>
      <c r="H265" s="9" t="s">
        <v>1722</v>
      </c>
      <c r="I265" t="str">
        <f t="shared" si="4"/>
        <v>('MATIAS MATIAS ANIBAL','AV. PARAISO S/N, LOMO LARGO - SUNAMPE','SUNAMPE','ZONA: SUNAMPE – PARAISO','956 149 489','41878632','F1'),</v>
      </c>
    </row>
    <row r="266" spans="1:9">
      <c r="A266" s="2">
        <v>308</v>
      </c>
      <c r="B266" s="9" t="s">
        <v>396</v>
      </c>
      <c r="C266" s="9" t="s">
        <v>397</v>
      </c>
      <c r="D266" s="9" t="s">
        <v>1680</v>
      </c>
      <c r="E266" s="9" t="s">
        <v>27</v>
      </c>
      <c r="F266" s="9">
        <v>902746205</v>
      </c>
      <c r="G266" s="12">
        <v>41886432</v>
      </c>
      <c r="H266" s="9" t="s">
        <v>1722</v>
      </c>
      <c r="I266" t="str">
        <f t="shared" si="4"/>
        <v>('NAPA MENESES MARITZA LUZ','Calle Alva Maurtua - Cruz Blanca','CHINCHA ALTA','ZONA: CRUZ BLANCA PARTE BAJA','902746205','41886432','F1'),</v>
      </c>
    </row>
    <row r="267" spans="1:9">
      <c r="A267" s="2">
        <v>309</v>
      </c>
      <c r="B267" s="9" t="s">
        <v>1111</v>
      </c>
      <c r="C267" s="9" t="s">
        <v>1112</v>
      </c>
      <c r="D267" s="9" t="s">
        <v>1679</v>
      </c>
      <c r="E267" s="9" t="s">
        <v>36</v>
      </c>
      <c r="F267" s="9" t="s">
        <v>1113</v>
      </c>
      <c r="G267" s="12">
        <v>41893651</v>
      </c>
      <c r="H267" s="9" t="s">
        <v>1722</v>
      </c>
      <c r="I267" t="str">
        <f t="shared" si="4"/>
        <v>('MENESES CRISOSTOMO MARILU','PSJ. LAS FRONTERAS S/N - LOMO LARGO - SUNAMPE','SUNAMPE','ZONA: SUNAMPE – PARAISO','916 728 107','41893651','F1'),</v>
      </c>
    </row>
    <row r="268" spans="1:9">
      <c r="A268" s="2">
        <v>310</v>
      </c>
      <c r="B268" s="9" t="s">
        <v>255</v>
      </c>
      <c r="C268" s="9" t="s">
        <v>256</v>
      </c>
      <c r="D268" s="9" t="s">
        <v>1679</v>
      </c>
      <c r="E268" s="9" t="s">
        <v>2</v>
      </c>
      <c r="F268" s="9">
        <v>980996099</v>
      </c>
      <c r="G268" s="12">
        <v>41901626</v>
      </c>
      <c r="H268" s="9" t="s">
        <v>1722</v>
      </c>
      <c r="I268" t="str">
        <f t="shared" si="4"/>
        <v>('JOSE ANTONIO SARAVIA PADILLA','PSJE LOS PINOS 176-03 - C.P. SAN IGNACIO - SUNAMPE','SUNAMPE','ZONA: SUNAMPE – SAN IGNACIO','980996099','41901626','F1'),</v>
      </c>
    </row>
    <row r="269" spans="1:9">
      <c r="A269" s="2">
        <v>311</v>
      </c>
      <c r="B269" s="9" t="s">
        <v>161</v>
      </c>
      <c r="C269" s="9" t="s">
        <v>162</v>
      </c>
      <c r="D269" s="9" t="s">
        <v>1680</v>
      </c>
      <c r="E269" s="9" t="s">
        <v>27</v>
      </c>
      <c r="F269" s="9">
        <v>934439107</v>
      </c>
      <c r="G269" s="12">
        <v>41951909</v>
      </c>
      <c r="H269" s="9" t="s">
        <v>1722</v>
      </c>
      <c r="I269" t="str">
        <f t="shared" si="4"/>
        <v>('SOTA PACHECO HARRY ANGEL','AV. ALVA MAURTUA MZ. B LT. 17 - CRUZ BLANCA','CHINCHA ALTA','ZONA: CRUZ BLANCA PARTE BAJA','934439107','41951909','F1'),</v>
      </c>
    </row>
    <row r="270" spans="1:9">
      <c r="A270" s="2">
        <v>312</v>
      </c>
      <c r="B270" s="9" t="s">
        <v>61</v>
      </c>
      <c r="C270" s="9" t="s">
        <v>62</v>
      </c>
      <c r="D270" s="9" t="s">
        <v>1679</v>
      </c>
      <c r="E270" s="9" t="s">
        <v>14</v>
      </c>
      <c r="F270" s="9">
        <v>979645543</v>
      </c>
      <c r="G270" s="12">
        <v>41971143</v>
      </c>
      <c r="H270" s="9" t="s">
        <v>1722</v>
      </c>
      <c r="I270" t="str">
        <f t="shared" si="4"/>
        <v>('SARAVIA YATACO ARMANDO FELIX','Psj. Betania interior 04 Nº 390 - Guayabo - Sunampe','SUNAMPE','ZONA: SUNAMPE – VILLA JULIA','979645543','41971143','F1'),</v>
      </c>
    </row>
    <row r="271" spans="1:9">
      <c r="A271" s="2">
        <v>314</v>
      </c>
      <c r="B271" s="9" t="s">
        <v>809</v>
      </c>
      <c r="C271" s="9" t="s">
        <v>810</v>
      </c>
      <c r="D271" s="9" t="s">
        <v>1679</v>
      </c>
      <c r="E271" s="9" t="s">
        <v>2</v>
      </c>
      <c r="F271" s="9" t="s">
        <v>811</v>
      </c>
      <c r="G271" s="12">
        <v>42023932</v>
      </c>
      <c r="H271" s="9" t="s">
        <v>1722</v>
      </c>
      <c r="I271" t="str">
        <f t="shared" si="4"/>
        <v>('TORRES RAMOS HENRY','PSJ. SAN FRANCISCO 191 - SAN IGNACIO - SUNAMPE','SUNAMPE','ZONA: SUNAMPE – SAN IGNACIO','987 820 479','42023932','F1'),</v>
      </c>
    </row>
    <row r="272" spans="1:9">
      <c r="A272" s="2">
        <v>315</v>
      </c>
      <c r="B272" s="9" t="s">
        <v>498</v>
      </c>
      <c r="C272" s="9" t="s">
        <v>499</v>
      </c>
      <c r="D272" s="9" t="s">
        <v>1679</v>
      </c>
      <c r="E272" s="9" t="s">
        <v>22</v>
      </c>
      <c r="F272" s="9">
        <v>943594389</v>
      </c>
      <c r="G272" s="12">
        <v>42027104</v>
      </c>
      <c r="H272" s="9" t="s">
        <v>1733</v>
      </c>
      <c r="I272" t="str">
        <f t="shared" si="4"/>
        <v>('MARTINEZ CASTILLA MARIA YSABEL','PSJ. SANTOS CHOCANO N° 148','SUNAMPE','ZONA: SUNAMPE – SAN PILPA','943594389','42027104','F2'),</v>
      </c>
    </row>
    <row r="273" spans="1:9">
      <c r="A273" s="2">
        <v>316</v>
      </c>
      <c r="B273" s="9" t="s">
        <v>416</v>
      </c>
      <c r="C273" s="9" t="s">
        <v>417</v>
      </c>
      <c r="D273" s="9" t="s">
        <v>1681</v>
      </c>
      <c r="E273" s="9" t="s">
        <v>317</v>
      </c>
      <c r="F273" s="9" t="s">
        <v>418</v>
      </c>
      <c r="G273" s="12">
        <v>42064586</v>
      </c>
      <c r="H273" s="9" t="s">
        <v>1722</v>
      </c>
      <c r="I273" t="str">
        <f t="shared" si="4"/>
        <v>('AVALOS SARAVIA RODOLFO AGUSTIN','AV. EL PORVENIR S/N - GROCIO PRADO','GROCIO PRADO','ZONA: GROCIO - EL PORVENIR','944 706 287','42064586','F1'),</v>
      </c>
    </row>
    <row r="274" spans="1:9">
      <c r="A274" s="2">
        <v>317</v>
      </c>
      <c r="B274" s="9" t="s">
        <v>1599</v>
      </c>
      <c r="C274" s="9" t="s">
        <v>1600</v>
      </c>
      <c r="D274" s="9" t="s">
        <v>1680</v>
      </c>
      <c r="E274" s="9" t="s">
        <v>1594</v>
      </c>
      <c r="F274" s="9">
        <v>980221807</v>
      </c>
      <c r="G274" s="12">
        <v>42086543</v>
      </c>
      <c r="H274" s="9" t="s">
        <v>1722</v>
      </c>
      <c r="I274" t="str">
        <f t="shared" si="4"/>
        <v>('HUAMAN QUISPE WALMER ALEXANDER','Av arenales 420 Tupac amaru zona A','CHINCHA ALTA','Zona: Chincha','980221807','42086543','F1'),</v>
      </c>
    </row>
    <row r="275" spans="1:9">
      <c r="A275" s="2">
        <v>318</v>
      </c>
      <c r="B275" s="9" t="s">
        <v>467</v>
      </c>
      <c r="C275" s="9" t="s">
        <v>468</v>
      </c>
      <c r="D275" s="9" t="s">
        <v>1679</v>
      </c>
      <c r="E275" s="9" t="s">
        <v>135</v>
      </c>
      <c r="F275" s="9">
        <v>979309471</v>
      </c>
      <c r="G275" s="12">
        <v>42102284</v>
      </c>
      <c r="H275" s="9" t="s">
        <v>1722</v>
      </c>
      <c r="I275" t="str">
        <f t="shared" si="4"/>
        <v>('PATRICIA MELINA DONAYRE LOPEZ','av. las nazarenas 62a Huaca Grande','SUNAMPE','ZONA: SUNAMPE – HUACA GRANDE','979309471','42102284','F1'),</v>
      </c>
    </row>
    <row r="276" spans="1:9">
      <c r="A276" s="2">
        <v>319</v>
      </c>
      <c r="B276" s="9" t="s">
        <v>295</v>
      </c>
      <c r="C276" s="9" t="s">
        <v>296</v>
      </c>
      <c r="D276" s="9" t="s">
        <v>1679</v>
      </c>
      <c r="E276" s="9" t="s">
        <v>8</v>
      </c>
      <c r="F276" s="9">
        <v>984001622</v>
      </c>
      <c r="G276" s="12">
        <v>42139473</v>
      </c>
      <c r="H276" s="9" t="s">
        <v>1733</v>
      </c>
      <c r="I276" t="str">
        <f t="shared" si="4"/>
        <v>('MIRNA PASACHE LEGUA','Av. Emancipacion - Sunampe, freente del colegio 22268','SUNAMPE','ZONA: SUNAMPE – COLEGIO','984001622','42139473','F2'),</v>
      </c>
    </row>
    <row r="277" spans="1:9">
      <c r="A277" s="2">
        <v>320</v>
      </c>
      <c r="B277" s="9" t="s">
        <v>778</v>
      </c>
      <c r="C277" s="9" t="s">
        <v>779</v>
      </c>
      <c r="D277" s="9" t="s">
        <v>1680</v>
      </c>
      <c r="E277" s="9" t="s">
        <v>765</v>
      </c>
      <c r="F277" s="9" t="s">
        <v>1725</v>
      </c>
      <c r="G277" s="12">
        <v>42166322</v>
      </c>
      <c r="H277" s="9" t="s">
        <v>1722</v>
      </c>
      <c r="I277" t="str">
        <f t="shared" si="4"/>
        <v>('CARPIO MOSQUERA MANUEL RUFINO','AV. JOSE OLAYA, PSJ. LOS CIRUELOS S/N - AMERICA - CHINCHA','CHINCHA ALTA','ZONA: CHINCHA - PROGRESO','No especificado','42166322','F1'),</v>
      </c>
    </row>
    <row r="278" spans="1:9">
      <c r="A278" s="2">
        <v>321</v>
      </c>
      <c r="B278" s="9" t="s">
        <v>443</v>
      </c>
      <c r="C278" s="9" t="s">
        <v>444</v>
      </c>
      <c r="D278" s="9" t="s">
        <v>1679</v>
      </c>
      <c r="E278" s="9" t="s">
        <v>5</v>
      </c>
      <c r="F278" s="9" t="s">
        <v>445</v>
      </c>
      <c r="G278" s="12">
        <v>42277973</v>
      </c>
      <c r="H278" s="9" t="s">
        <v>1722</v>
      </c>
      <c r="I278" t="str">
        <f t="shared" si="4"/>
        <v>('CORDERO MURILLO MARGARITA','SANTA ROSA- SUNAMPE','SUNAMPE','ZONA: SUNAMPE – SANTA ROSA','937 061 341','42277973','F1'),</v>
      </c>
    </row>
    <row r="279" spans="1:9">
      <c r="A279" s="2">
        <v>322</v>
      </c>
      <c r="B279" s="9" t="s">
        <v>601</v>
      </c>
      <c r="C279" s="9" t="s">
        <v>602</v>
      </c>
      <c r="D279" s="9" t="s">
        <v>1679</v>
      </c>
      <c r="E279" s="9" t="s">
        <v>596</v>
      </c>
      <c r="F279" s="9">
        <v>995533288</v>
      </c>
      <c r="G279" s="12">
        <v>42286515</v>
      </c>
      <c r="H279" s="9" t="s">
        <v>1722</v>
      </c>
      <c r="I279" t="str">
        <f t="shared" si="4"/>
        <v>('FELIPA LOPEZ JORGE LUIS','LA VICTORIA Nº 128','SUNAMPE','ZONA: SUNAMPE – CALLE LIMA','995533288','42286515','F1'),</v>
      </c>
    </row>
    <row r="280" spans="1:9">
      <c r="A280" s="2">
        <v>323</v>
      </c>
      <c r="B280" s="9" t="s">
        <v>426</v>
      </c>
      <c r="C280" s="9" t="s">
        <v>427</v>
      </c>
      <c r="D280" s="9" t="s">
        <v>1680</v>
      </c>
      <c r="E280" s="9" t="s">
        <v>99</v>
      </c>
      <c r="F280" s="9">
        <v>917695094</v>
      </c>
      <c r="G280" s="12">
        <v>42360247</v>
      </c>
      <c r="H280" s="9" t="s">
        <v>1722</v>
      </c>
      <c r="I280" t="str">
        <f t="shared" si="4"/>
        <v>('NAVARRO SARAVIA JUAN RONALD','Calle El carmen, psj los ciruelos','CHINCHA ALTA','ZONA: CRUZ BLANCA CAMPO','917695094','42360247','F1'),</v>
      </c>
    </row>
    <row r="281" spans="1:9">
      <c r="A281" s="2">
        <v>324</v>
      </c>
      <c r="B281" s="9" t="s">
        <v>578</v>
      </c>
      <c r="C281" s="9" t="s">
        <v>579</v>
      </c>
      <c r="D281" s="9" t="s">
        <v>1679</v>
      </c>
      <c r="E281" s="9" t="s">
        <v>36</v>
      </c>
      <c r="F281" s="9" t="s">
        <v>580</v>
      </c>
      <c r="G281" s="12">
        <v>42408411</v>
      </c>
      <c r="H281" s="9" t="s">
        <v>1722</v>
      </c>
      <c r="I281" t="str">
        <f t="shared" si="4"/>
        <v>('VILLA TASAYCO JOSE','Psj. La victoria - Lomo largo - San Pedro de pilpa - Sunampe','SUNAMPE','ZONA: SUNAMPE – PARAISO','987 776 269','42408411','F1'),</v>
      </c>
    </row>
    <row r="282" spans="1:9">
      <c r="A282" s="2">
        <v>325</v>
      </c>
      <c r="B282" s="9" t="s">
        <v>1126</v>
      </c>
      <c r="C282" s="9" t="s">
        <v>1127</v>
      </c>
      <c r="D282" s="9" t="s">
        <v>1679</v>
      </c>
      <c r="E282" s="9" t="s">
        <v>22</v>
      </c>
      <c r="F282" s="9" t="s">
        <v>1128</v>
      </c>
      <c r="G282" s="12">
        <v>42416159</v>
      </c>
      <c r="H282" s="9" t="s">
        <v>1722</v>
      </c>
      <c r="I282" t="str">
        <f t="shared" si="4"/>
        <v>('ATUNCAR ALMEYDA MARIA FRANCISCA','PSJ. ALMEYDA Nª 108 INT. 05 - SUNAMPE','SUNAMPE','ZONA: SUNAMPE – SAN PILPA','960 481 575','42416159','F1'),</v>
      </c>
    </row>
    <row r="283" spans="1:9">
      <c r="A283" s="2">
        <v>326</v>
      </c>
      <c r="B283" s="9" t="s">
        <v>873</v>
      </c>
      <c r="C283" s="9" t="s">
        <v>874</v>
      </c>
      <c r="D283" s="9" t="s">
        <v>1679</v>
      </c>
      <c r="E283" s="9" t="s">
        <v>8</v>
      </c>
      <c r="F283" s="9">
        <v>957783182</v>
      </c>
      <c r="G283" s="12">
        <v>42433139</v>
      </c>
      <c r="H283" s="9" t="s">
        <v>1722</v>
      </c>
      <c r="I283" t="str">
        <f t="shared" si="4"/>
        <v>('CARDENAS GONZALES MARISSA CRISTINA','PSJ. EMANCIPACION S/N, PASO DE GOMEZ - SUNAMPE','SUNAMPE','ZONA: SUNAMPE – COLEGIO','957783182','42433139','F1'),</v>
      </c>
    </row>
    <row r="284" spans="1:9">
      <c r="A284" s="2">
        <v>328</v>
      </c>
      <c r="B284" s="9" t="s">
        <v>758</v>
      </c>
      <c r="C284" s="9" t="s">
        <v>759</v>
      </c>
      <c r="D284" s="9" t="s">
        <v>1679</v>
      </c>
      <c r="E284" s="9" t="s">
        <v>106</v>
      </c>
      <c r="F284" s="9">
        <v>932425236</v>
      </c>
      <c r="G284" s="12">
        <v>42501542</v>
      </c>
      <c r="H284" s="9" t="s">
        <v>1722</v>
      </c>
      <c r="I284" t="str">
        <f t="shared" si="4"/>
        <v>('MARTINEZ SARAVIA KARINA JHOANNA','AA.HH. LA UNION HACE LA FUERZA MZ. D LT. 10 -  SUNAMPE','SUNAMPE','ZONA: SUNAMPE - MINA DE ORO','932425236','42501542','F1'),</v>
      </c>
    </row>
    <row r="285" spans="1:9">
      <c r="A285" s="2">
        <v>330</v>
      </c>
      <c r="B285" s="9" t="s">
        <v>346</v>
      </c>
      <c r="C285" s="9" t="s">
        <v>347</v>
      </c>
      <c r="D285" s="9" t="s">
        <v>1679</v>
      </c>
      <c r="E285" s="9" t="s">
        <v>36</v>
      </c>
      <c r="F285" s="9" t="s">
        <v>348</v>
      </c>
      <c r="G285" s="12">
        <v>42508966</v>
      </c>
      <c r="H285" s="9" t="s">
        <v>1722</v>
      </c>
      <c r="I285" t="str">
        <f t="shared" si="4"/>
        <v>('MENESES CRISOSTOMO MARITZA','LOMO LARGO PASANDO LA PLAZA DE ARMAS','SUNAMPE','ZONA: SUNAMPE – PARAISO','937 337 247','42508966','F1'),</v>
      </c>
    </row>
    <row r="286" spans="1:9">
      <c r="A286" s="2">
        <v>331</v>
      </c>
      <c r="B286" s="9" t="s">
        <v>252</v>
      </c>
      <c r="C286" s="9" t="s">
        <v>253</v>
      </c>
      <c r="D286" s="9" t="s">
        <v>1680</v>
      </c>
      <c r="E286" s="9" t="s">
        <v>27</v>
      </c>
      <c r="F286" s="9" t="s">
        <v>254</v>
      </c>
      <c r="G286" s="12">
        <v>42517738</v>
      </c>
      <c r="H286" s="9" t="s">
        <v>1722</v>
      </c>
      <c r="I286" t="str">
        <f t="shared" si="4"/>
        <v>('NAPA CARBAJAL DE MENESES MARIA ELENA','Calle El carmen 180-cruz blanca','CHINCHA ALTA','ZONA: CRUZ BLANCA PARTE BAJA','940 088 604','42517738','F1'),</v>
      </c>
    </row>
    <row r="287" spans="1:9">
      <c r="A287" s="2">
        <v>334</v>
      </c>
      <c r="B287" s="9" t="s">
        <v>32</v>
      </c>
      <c r="C287" s="9" t="s">
        <v>33</v>
      </c>
      <c r="D287" s="9" t="s">
        <v>1679</v>
      </c>
      <c r="E287" s="9" t="s">
        <v>22</v>
      </c>
      <c r="F287" s="9">
        <v>987013897</v>
      </c>
      <c r="G287" s="12">
        <v>42567350</v>
      </c>
      <c r="H287" s="9" t="s">
        <v>1733</v>
      </c>
      <c r="I287" t="str">
        <f t="shared" si="4"/>
        <v>('GIRAO ATUNCAR JAVIER ORLANDO','Av. Alfonso Ugarte Mz M Lt 5, CP San Pedro de Pilpa - Sunampe','SUNAMPE','ZONA: SUNAMPE – SAN PILPA','987013897','42567350','F2'),</v>
      </c>
    </row>
    <row r="288" spans="1:9">
      <c r="A288" s="2">
        <v>335</v>
      </c>
      <c r="B288" s="9" t="s">
        <v>1623</v>
      </c>
      <c r="C288" s="9" t="s">
        <v>1624</v>
      </c>
      <c r="D288" s="9" t="s">
        <v>1683</v>
      </c>
      <c r="E288" s="9" t="s">
        <v>1725</v>
      </c>
      <c r="F288" s="9">
        <v>933433628</v>
      </c>
      <c r="G288" s="12">
        <v>42605824</v>
      </c>
      <c r="H288" s="9" t="s">
        <v>1733</v>
      </c>
      <c r="I288" t="str">
        <f t="shared" si="4"/>
        <v>('SAAVEDRA ADVINCULA JEYMI YULIANA','San Luis Mz.A lote 18 Tambo de Mora','TAMBO DE MORA','No especificado','933433628','42605824','F2'),</v>
      </c>
    </row>
    <row r="289" spans="1:9">
      <c r="A289" s="2">
        <v>336</v>
      </c>
      <c r="B289" s="9" t="s">
        <v>184</v>
      </c>
      <c r="C289" s="9" t="s">
        <v>185</v>
      </c>
      <c r="D289" s="9" t="s">
        <v>1679</v>
      </c>
      <c r="E289" s="9" t="s">
        <v>22</v>
      </c>
      <c r="F289" s="9" t="s">
        <v>1707</v>
      </c>
      <c r="G289" s="12">
        <v>42652351</v>
      </c>
      <c r="H289" s="9" t="s">
        <v>1722</v>
      </c>
      <c r="I289" t="str">
        <f t="shared" si="4"/>
        <v>('NAPA ROJAS HUGO EDUARDO','Av San Pedro de Pilpa 475','SUNAMPE','ZONA: SUNAMPE – SAN PILPA','969 681 623','42652351','F1'),</v>
      </c>
    </row>
    <row r="290" spans="1:9">
      <c r="A290" s="2">
        <v>337</v>
      </c>
      <c r="B290" s="9" t="s">
        <v>110</v>
      </c>
      <c r="C290" s="9" t="s">
        <v>111</v>
      </c>
      <c r="D290" s="9" t="s">
        <v>1680</v>
      </c>
      <c r="E290" s="9" t="s">
        <v>19</v>
      </c>
      <c r="F290" s="9">
        <v>980105151</v>
      </c>
      <c r="G290" s="12">
        <v>42697575</v>
      </c>
      <c r="H290" s="9" t="s">
        <v>1722</v>
      </c>
      <c r="I290" t="str">
        <f t="shared" si="4"/>
        <v>('GONZALES NAPA WALTER MARTIN','AV. ALVA MAURTUA N°508 - CRUZ BLANCA','CHINCHA ALTA','ZONA: CRUZ BLANCA PARTE ALTA oruro','980105151','42697575','F1'),</v>
      </c>
    </row>
    <row r="291" spans="1:9">
      <c r="A291" s="2">
        <v>338</v>
      </c>
      <c r="B291" s="9" t="s">
        <v>349</v>
      </c>
      <c r="C291" s="9" t="s">
        <v>350</v>
      </c>
      <c r="D291" s="9" t="s">
        <v>1680</v>
      </c>
      <c r="E291" s="9" t="s">
        <v>126</v>
      </c>
      <c r="F291" s="9" t="s">
        <v>351</v>
      </c>
      <c r="G291" s="12">
        <v>42698548</v>
      </c>
      <c r="H291" s="9" t="s">
        <v>1722</v>
      </c>
      <c r="I291" t="str">
        <f t="shared" si="4"/>
        <v>('ALMEIDA GARCIA KATI NELLY','Asoc. Nueva generacion siglo 21','CHINCHA ALTA','ZONA: CRUZ BLANCA VIRGEN CARMEN','980 783 090','42698548','F1'),</v>
      </c>
    </row>
    <row r="292" spans="1:9">
      <c r="A292" s="2">
        <v>339</v>
      </c>
      <c r="B292" s="9" t="s">
        <v>713</v>
      </c>
      <c r="C292" s="9" t="s">
        <v>714</v>
      </c>
      <c r="D292" s="9" t="s">
        <v>1680</v>
      </c>
      <c r="E292" s="9" t="s">
        <v>99</v>
      </c>
      <c r="F292" s="9" t="s">
        <v>715</v>
      </c>
      <c r="G292" s="12">
        <v>42704332</v>
      </c>
      <c r="H292" s="9" t="s">
        <v>1722</v>
      </c>
      <c r="I292" t="str">
        <f t="shared" si="4"/>
        <v>('MAGALLANES TASAYCO JUAN JESUS','AA.HH SAN VALENTIN F-4, CC.PP. CONDORILLO ALTO','CHINCHA ALTA','ZONA: CRUZ BLANCA CAMPO','984 202 663','42704332','F1'),</v>
      </c>
    </row>
    <row r="293" spans="1:9">
      <c r="A293" s="2">
        <v>340</v>
      </c>
      <c r="B293" s="9" t="s">
        <v>677</v>
      </c>
      <c r="C293" s="9" t="s">
        <v>678</v>
      </c>
      <c r="D293" s="9" t="s">
        <v>1681</v>
      </c>
      <c r="E293" s="9" t="s">
        <v>11</v>
      </c>
      <c r="F293" s="9">
        <v>952037051</v>
      </c>
      <c r="G293" s="12">
        <v>42739534</v>
      </c>
      <c r="H293" s="9" t="s">
        <v>1722</v>
      </c>
      <c r="I293" t="str">
        <f t="shared" si="4"/>
        <v>('CORDOVA DE LA CRUZ JORGE LUIS','CL. SAN ANTONIO S/N, BARRIO MELCHORITA II - GROCIO PRADO','GROCIO PRADO','ZONA: GROCIO - MEJILLONEROS','952037051','42739534','F1'),</v>
      </c>
    </row>
    <row r="294" spans="1:9">
      <c r="A294" s="2">
        <v>342</v>
      </c>
      <c r="B294" s="9" t="s">
        <v>1041</v>
      </c>
      <c r="C294" s="9" t="s">
        <v>1042</v>
      </c>
      <c r="D294" s="9" t="s">
        <v>1679</v>
      </c>
      <c r="E294" s="9" t="s">
        <v>106</v>
      </c>
      <c r="F294" s="9">
        <v>908601428</v>
      </c>
      <c r="G294" s="12">
        <v>42777407</v>
      </c>
      <c r="H294" s="9" t="s">
        <v>1722</v>
      </c>
      <c r="I294" t="str">
        <f t="shared" si="4"/>
        <v>('DIAZ TASAYCO CARLOS YVAN','AA.HH. SAN JUDAS TADEO MZ. E LT. 4 - SUNAMPE - CHINCHA','SUNAMPE','ZONA: SUNAMPE - MINA DE ORO','908601428','42777407','F1'),</v>
      </c>
    </row>
    <row r="295" spans="1:9">
      <c r="A295" s="2">
        <v>343</v>
      </c>
      <c r="B295" s="9" t="s">
        <v>794</v>
      </c>
      <c r="C295" s="9" t="s">
        <v>795</v>
      </c>
      <c r="D295" s="9" t="s">
        <v>1679</v>
      </c>
      <c r="E295" s="9" t="s">
        <v>135</v>
      </c>
      <c r="F295" s="9">
        <v>982856336</v>
      </c>
      <c r="G295" s="12">
        <v>42791418</v>
      </c>
      <c r="H295" s="9" t="s">
        <v>1722</v>
      </c>
      <c r="I295" t="str">
        <f t="shared" si="4"/>
        <v>('MATIAS PEÑALOZA CRISTIAN GUSTAVO','CALLE LAS NAZARENAS Nº36 - HUACA GRANDE - SUNAMPE','SUNAMPE','ZONA: SUNAMPE – HUACA GRANDE','982856336','42791418','F1'),</v>
      </c>
    </row>
    <row r="296" spans="1:9">
      <c r="A296" s="2">
        <v>344</v>
      </c>
      <c r="B296" s="9" t="s">
        <v>729</v>
      </c>
      <c r="C296" s="9" t="s">
        <v>730</v>
      </c>
      <c r="D296" s="9" t="s">
        <v>1679</v>
      </c>
      <c r="E296" s="9" t="s">
        <v>718</v>
      </c>
      <c r="F296" s="9">
        <v>946186473</v>
      </c>
      <c r="G296" s="12">
        <v>42827804</v>
      </c>
      <c r="H296" s="9" t="s">
        <v>1722</v>
      </c>
      <c r="I296" t="str">
        <f t="shared" si="4"/>
        <v>('PORTILLA NAPA MARIA ESTHER','AV. LAS FLORES N134 - CHACARITA - SUNAMPE','SUNAMPE','ZONA: SUNAMPE – CHACARITA','946186473','42827804','F1'),</v>
      </c>
    </row>
    <row r="297" spans="1:9">
      <c r="A297" s="2">
        <v>345</v>
      </c>
      <c r="B297" s="9" t="s">
        <v>1653</v>
      </c>
      <c r="C297" s="9" t="s">
        <v>1654</v>
      </c>
      <c r="D297" s="9" t="s">
        <v>1679</v>
      </c>
      <c r="E297" s="9" t="s">
        <v>1642</v>
      </c>
      <c r="F297" s="9">
        <v>921424974</v>
      </c>
      <c r="G297" s="12">
        <v>42873960</v>
      </c>
      <c r="H297" s="9" t="s">
        <v>1722</v>
      </c>
      <c r="I297" t="str">
        <f t="shared" si="4"/>
        <v>('GARAY TORRES JUAN CARLOS','Av. los libertadores 288 sunampe','SUNAMPE','Zona: Sunampe','921424974','42873960','F1'),</v>
      </c>
    </row>
    <row r="298" spans="1:9">
      <c r="A298" s="2">
        <v>346</v>
      </c>
      <c r="B298" s="9" t="s">
        <v>302</v>
      </c>
      <c r="C298" s="9" t="s">
        <v>303</v>
      </c>
      <c r="D298" s="9" t="s">
        <v>1680</v>
      </c>
      <c r="E298" s="9" t="s">
        <v>27</v>
      </c>
      <c r="F298" s="9" t="s">
        <v>304</v>
      </c>
      <c r="G298" s="12">
        <v>42876347</v>
      </c>
      <c r="H298" s="9" t="s">
        <v>1722</v>
      </c>
      <c r="I298" t="str">
        <f t="shared" si="4"/>
        <v>('ROJAS GUERRA EDGAR EDUARDO','C.P. EL TIGRE 141 INT. 01 - CHINCHA ALTA','CHINCHA ALTA','ZONA: CRUZ BLANCA PARTE BAJA','960 329 089','42876347','F1'),</v>
      </c>
    </row>
    <row r="299" spans="1:9">
      <c r="A299" s="2">
        <v>347</v>
      </c>
      <c r="B299" s="9" t="s">
        <v>293</v>
      </c>
      <c r="C299" s="9" t="s">
        <v>294</v>
      </c>
      <c r="D299" s="9" t="s">
        <v>1681</v>
      </c>
      <c r="E299" s="9" t="s">
        <v>11</v>
      </c>
      <c r="F299" s="9">
        <v>955267416</v>
      </c>
      <c r="G299" s="12">
        <v>42912738</v>
      </c>
      <c r="H299" s="9" t="s">
        <v>1722</v>
      </c>
      <c r="I299" t="str">
        <f t="shared" si="4"/>
        <v>('CHICO YATACO MARISELA','Avenida San Rafael #256 Grocio Prado (frente al campo de los mejilloneros)','GROCIO PRADO','ZONA: GROCIO - MEJILLONEROS','955267416','42912738','F1'),</v>
      </c>
    </row>
    <row r="300" spans="1:9">
      <c r="A300" s="2">
        <v>348</v>
      </c>
      <c r="B300" s="9" t="s">
        <v>947</v>
      </c>
      <c r="C300" s="9" t="s">
        <v>948</v>
      </c>
      <c r="D300" s="9" t="s">
        <v>1679</v>
      </c>
      <c r="E300" s="9" t="s">
        <v>106</v>
      </c>
      <c r="F300" s="9" t="s">
        <v>949</v>
      </c>
      <c r="G300" s="12">
        <v>42981781</v>
      </c>
      <c r="H300" s="9" t="s">
        <v>1722</v>
      </c>
      <c r="I300" t="str">
        <f t="shared" si="4"/>
        <v>('HERRERA LEVANO ANA MARIA','UPIS VILLA ESPERANZA MZ. B LT. 15, MINA DE ORO - SUNAMPE','SUNAMPE','ZONA: SUNAMPE - MINA DE ORO','975 338 281','42981781','F1'),</v>
      </c>
    </row>
    <row r="301" spans="1:9">
      <c r="A301" s="2">
        <v>350</v>
      </c>
      <c r="B301" s="9" t="s">
        <v>100</v>
      </c>
      <c r="C301" s="9" t="s">
        <v>101</v>
      </c>
      <c r="D301" s="9" t="s">
        <v>1679</v>
      </c>
      <c r="E301" s="9" t="s">
        <v>2</v>
      </c>
      <c r="F301" s="9">
        <v>991881274</v>
      </c>
      <c r="G301" s="12">
        <v>43073315</v>
      </c>
      <c r="H301" s="9" t="s">
        <v>1722</v>
      </c>
      <c r="I301" t="str">
        <f t="shared" si="4"/>
        <v>('PAEZ SOTELO HELLEN VICTORIA','Calle San Antonio 301 - Sunampe','SUNAMPE','ZONA: SUNAMPE – SAN IGNACIO','991881274','43073315','F1'),</v>
      </c>
    </row>
    <row r="302" spans="1:9">
      <c r="A302" s="2">
        <v>351</v>
      </c>
      <c r="B302" s="9" t="s">
        <v>102</v>
      </c>
      <c r="C302" s="9" t="s">
        <v>103</v>
      </c>
      <c r="D302" s="9" t="s">
        <v>1680</v>
      </c>
      <c r="E302" s="9" t="s">
        <v>90</v>
      </c>
      <c r="F302" s="9">
        <v>977207233</v>
      </c>
      <c r="G302" s="12">
        <v>43081077</v>
      </c>
      <c r="H302" s="9" t="s">
        <v>1722</v>
      </c>
      <c r="I302" t="str">
        <f t="shared" si="4"/>
        <v>('GARCIA GARIBAY EMILIA MELCHORITA','C.P. CONDORILLO ALTO, CRUZ DEL ROSARIO MZ A LT 12 - CHINCHA','CHINCHA ALTA','ZONA: CONDORILLO PARTE ALTA','977207233','43081077','F1'),</v>
      </c>
    </row>
    <row r="303" spans="1:9">
      <c r="A303" s="2">
        <v>353</v>
      </c>
      <c r="B303" s="9" t="s">
        <v>246</v>
      </c>
      <c r="C303" s="9" t="s">
        <v>247</v>
      </c>
      <c r="D303" s="9" t="s">
        <v>1679</v>
      </c>
      <c r="E303" s="9" t="s">
        <v>2</v>
      </c>
      <c r="F303" s="9" t="s">
        <v>248</v>
      </c>
      <c r="G303" s="12">
        <v>43085081</v>
      </c>
      <c r="H303" s="9" t="s">
        <v>1722</v>
      </c>
      <c r="I303" t="str">
        <f t="shared" si="4"/>
        <v>('SARAVIA SEBASTIAN VERONICA','psj santa rosa sunampe guayabo cholo','SUNAMPE','ZONA: SUNAMPE – SAN IGNACIO','984 964 759','43085081','F1'),</v>
      </c>
    </row>
    <row r="304" spans="1:9">
      <c r="A304" s="2">
        <v>354</v>
      </c>
      <c r="B304" s="9" t="s">
        <v>1468</v>
      </c>
      <c r="C304" s="9" t="s">
        <v>1469</v>
      </c>
      <c r="D304" s="9" t="s">
        <v>1679</v>
      </c>
      <c r="E304" s="9" t="s">
        <v>8</v>
      </c>
      <c r="F304" s="9" t="s">
        <v>1470</v>
      </c>
      <c r="G304" s="12">
        <v>43092297</v>
      </c>
      <c r="H304" s="9" t="s">
        <v>1733</v>
      </c>
      <c r="I304" t="str">
        <f t="shared" si="4"/>
        <v>('DIANA CAROLINA ROJAS RAMOS','AV. FATIMA LT. 31 - SUNAMPE','SUNAMPE','ZONA: SUNAMPE – COLEGIO','956 499 148','43092297','F2'),</v>
      </c>
    </row>
    <row r="305" spans="1:9">
      <c r="A305" s="2">
        <v>355</v>
      </c>
      <c r="B305" s="9" t="s">
        <v>1685</v>
      </c>
      <c r="C305" s="9" t="s">
        <v>1700</v>
      </c>
      <c r="D305" s="9" t="s">
        <v>1679</v>
      </c>
      <c r="E305" s="9" t="s">
        <v>5</v>
      </c>
      <c r="F305" s="9">
        <v>966954909</v>
      </c>
      <c r="G305" s="12">
        <v>43097840</v>
      </c>
      <c r="H305" s="9" t="s">
        <v>1722</v>
      </c>
      <c r="I305" t="str">
        <f t="shared" si="4"/>
        <v>('SANCHEZ MENDOZA SILVANA TEODORA','Carretera Sunampe 701 1era entrada Santa Rosa Sunampe','SUNAMPE','ZONA: SUNAMPE – SANTA ROSA','966954909','43097840','F1'),</v>
      </c>
    </row>
    <row r="306" spans="1:9">
      <c r="A306" s="2">
        <v>356</v>
      </c>
      <c r="B306" s="9" t="s">
        <v>716</v>
      </c>
      <c r="C306" s="9" t="s">
        <v>717</v>
      </c>
      <c r="D306" s="9" t="s">
        <v>1679</v>
      </c>
      <c r="E306" s="9" t="s">
        <v>718</v>
      </c>
      <c r="F306" s="9">
        <v>946132109</v>
      </c>
      <c r="G306" s="12">
        <v>43107478</v>
      </c>
      <c r="H306" s="9" t="s">
        <v>1722</v>
      </c>
      <c r="I306" t="str">
        <f t="shared" si="4"/>
        <v>('NAPA AVALOS JUAN JOSE','Calle jorge chavez Mz B Lote 16  CHACARITA','SUNAMPE','ZONA: SUNAMPE – CHACARITA','946132109','43107478','F1'),</v>
      </c>
    </row>
    <row r="307" spans="1:9">
      <c r="A307" s="2">
        <v>357</v>
      </c>
      <c r="B307" s="9" t="s">
        <v>525</v>
      </c>
      <c r="C307" s="9" t="s">
        <v>526</v>
      </c>
      <c r="D307" s="9" t="s">
        <v>1679</v>
      </c>
      <c r="E307" s="9" t="s">
        <v>22</v>
      </c>
      <c r="F307" s="9">
        <v>921430485</v>
      </c>
      <c r="G307" s="12">
        <v>43145534</v>
      </c>
      <c r="H307" s="9" t="s">
        <v>1722</v>
      </c>
      <c r="I307" t="str">
        <f t="shared" si="4"/>
        <v>('SANTIAGO NAPA JHON ROBERT','PSJ. SAN BLAS N241 - LOMO LARGO - SUNAMPE','SUNAMPE','ZONA: SUNAMPE – SAN PILPA','921430485','43145534','F1'),</v>
      </c>
    </row>
    <row r="308" spans="1:9">
      <c r="A308" s="2">
        <v>358</v>
      </c>
      <c r="B308" s="9" t="s">
        <v>1114</v>
      </c>
      <c r="C308" s="9" t="s">
        <v>1115</v>
      </c>
      <c r="D308" s="9" t="s">
        <v>1680</v>
      </c>
      <c r="E308" s="9" t="s">
        <v>334</v>
      </c>
      <c r="F308" s="9">
        <v>914717616</v>
      </c>
      <c r="G308" s="12">
        <v>43210229</v>
      </c>
      <c r="H308" s="9" t="s">
        <v>1733</v>
      </c>
      <c r="I308" t="str">
        <f t="shared" si="4"/>
        <v>('PEVE GUERRA OSWALDO EFRAIN','C.P. CONDORILLO ALTO MZ. I - LT. 12 - CHINCHA ALTA','CHINCHA ALTA','ZONA: CONDORILLO PARTE BAJA','914717616','43210229','F2'),</v>
      </c>
    </row>
    <row r="309" spans="1:9">
      <c r="A309" s="2">
        <v>359</v>
      </c>
      <c r="B309" s="9" t="s">
        <v>1261</v>
      </c>
      <c r="C309" s="9" t="s">
        <v>1262</v>
      </c>
      <c r="D309" s="9" t="s">
        <v>1680</v>
      </c>
      <c r="E309" s="9" t="s">
        <v>126</v>
      </c>
      <c r="F309" s="9" t="s">
        <v>1263</v>
      </c>
      <c r="G309" s="12">
        <v>43220061</v>
      </c>
      <c r="H309" s="9" t="s">
        <v>1722</v>
      </c>
      <c r="I309" t="str">
        <f t="shared" si="4"/>
        <v>('QUISPE CONISLLA HUBER BASILIO','PSJ. SANTA ROSA S/N - CRUZ BLANCHA - CHINCHA ALTA','CHINCHA ALTA','ZONA: CRUZ BLANCA VIRGEN CARMEN','913 747 534','43220061','F1'),</v>
      </c>
    </row>
    <row r="310" spans="1:9">
      <c r="A310" s="2">
        <v>360</v>
      </c>
      <c r="B310" s="9" t="s">
        <v>1422</v>
      </c>
      <c r="C310" s="9" t="s">
        <v>1423</v>
      </c>
      <c r="D310" s="9" t="s">
        <v>1681</v>
      </c>
      <c r="E310" s="9" t="s">
        <v>1424</v>
      </c>
      <c r="F310" s="9">
        <v>912137877</v>
      </c>
      <c r="G310" s="12">
        <v>43221264</v>
      </c>
      <c r="H310" s="9" t="s">
        <v>1722</v>
      </c>
      <c r="I310" t="str">
        <f t="shared" si="4"/>
        <v>('MARTINEZ TASAYCO CYNTIA MABEL','CL 7 DE DICIEMBRE LT 23 - CERCADO DE GROCIO PRADO','GROCIO PRADO','ZONA: GROCIO - SAN JOSE','912137877','43221264','F1'),</v>
      </c>
    </row>
    <row r="311" spans="1:9">
      <c r="A311" s="2">
        <v>361</v>
      </c>
      <c r="B311" s="9" t="s">
        <v>208</v>
      </c>
      <c r="C311" s="9" t="s">
        <v>209</v>
      </c>
      <c r="D311" s="9" t="s">
        <v>1680</v>
      </c>
      <c r="E311" s="9" t="s">
        <v>19</v>
      </c>
      <c r="F311" s="9">
        <v>969738812</v>
      </c>
      <c r="G311" s="12">
        <v>43221317</v>
      </c>
      <c r="H311" s="9" t="s">
        <v>1722</v>
      </c>
      <c r="I311" t="str">
        <f t="shared" si="4"/>
        <v>('VELASQUEZ DE LA CRUZ LUISA HERMELINDA','Pasaje Jose Olaya- Entrada Condoriilo','CHINCHA ALTA','ZONA: CRUZ BLANCA PARTE ALTA oruro','969738812','43221317','F1'),</v>
      </c>
    </row>
    <row r="312" spans="1:9">
      <c r="A312" s="2">
        <v>362</v>
      </c>
      <c r="B312" s="9" t="s">
        <v>180</v>
      </c>
      <c r="C312" s="9" t="s">
        <v>181</v>
      </c>
      <c r="D312" s="9" t="s">
        <v>1679</v>
      </c>
      <c r="E312" s="9" t="s">
        <v>22</v>
      </c>
      <c r="F312" s="9">
        <v>943699490</v>
      </c>
      <c r="G312" s="12">
        <v>43271704</v>
      </c>
      <c r="H312" s="9" t="s">
        <v>1722</v>
      </c>
      <c r="I312" t="str">
        <f t="shared" si="4"/>
        <v>('ALFONSO TORRES NOEMI MARLENY','CL. SAN JUAN S/N - SAN PEDRO DE PILPA - SUNAMPE','SUNAMPE','ZONA: SUNAMPE – SAN PILPA','943699490','43271704','F1'),</v>
      </c>
    </row>
    <row r="313" spans="1:9">
      <c r="A313" s="2">
        <v>363</v>
      </c>
      <c r="B313" s="9" t="s">
        <v>3</v>
      </c>
      <c r="C313" s="9" t="s">
        <v>4</v>
      </c>
      <c r="D313" s="9" t="s">
        <v>1679</v>
      </c>
      <c r="E313" s="9" t="s">
        <v>5</v>
      </c>
      <c r="F313" s="9">
        <v>998530990</v>
      </c>
      <c r="G313" s="12">
        <v>43312934</v>
      </c>
      <c r="H313" s="9" t="s">
        <v>1722</v>
      </c>
      <c r="I313" t="str">
        <f t="shared" si="4"/>
        <v>('FACHO LOZADA AUGUSTO IGNACIO','AV.PRINCIPAL 543 SUNAMPE LOTE 6A','SUNAMPE','ZONA: SUNAMPE – SANTA ROSA','998530990','43312934','F1'),</v>
      </c>
    </row>
    <row r="314" spans="1:9">
      <c r="A314" s="2">
        <v>364</v>
      </c>
      <c r="B314" s="9" t="s">
        <v>1618</v>
      </c>
      <c r="C314" s="9" t="s">
        <v>1619</v>
      </c>
      <c r="D314" s="9" t="s">
        <v>1682</v>
      </c>
      <c r="E314" s="9" t="s">
        <v>1610</v>
      </c>
      <c r="F314" s="9">
        <v>964443204</v>
      </c>
      <c r="G314" s="12">
        <v>43332030</v>
      </c>
      <c r="H314" s="9" t="s">
        <v>1722</v>
      </c>
      <c r="I314" t="str">
        <f t="shared" si="4"/>
        <v>('HERRERA SAAVEDRA ESTELA','AA.HH. Satelite primaveral Mz. D lt.3','PUEBLO NUEVO','Zona:  SrMilagros','964443204','43332030','F1'),</v>
      </c>
    </row>
    <row r="315" spans="1:9">
      <c r="A315" s="2">
        <v>365</v>
      </c>
      <c r="B315" s="9" t="s">
        <v>97</v>
      </c>
      <c r="C315" s="9" t="s">
        <v>98</v>
      </c>
      <c r="D315" s="9" t="s">
        <v>1680</v>
      </c>
      <c r="E315" s="9" t="s">
        <v>99</v>
      </c>
      <c r="F315" s="9">
        <v>921159983</v>
      </c>
      <c r="G315" s="12">
        <v>43350897</v>
      </c>
      <c r="H315" s="9" t="s">
        <v>1722</v>
      </c>
      <c r="I315" t="str">
        <f t="shared" si="4"/>
        <v>('CHAVEZ YATACO JESUS ALBERTO','Psj. Santa Rosa S/N - Cruz Blanca','CHINCHA ALTA','ZONA: CRUZ BLANCA CAMPO','921159983','43350897','F1'),</v>
      </c>
    </row>
    <row r="316" spans="1:9">
      <c r="A316" s="2">
        <v>366</v>
      </c>
      <c r="B316" s="9" t="s">
        <v>1580</v>
      </c>
      <c r="C316" s="9" t="s">
        <v>1581</v>
      </c>
      <c r="D316" s="9" t="s">
        <v>1682</v>
      </c>
      <c r="E316" s="9" t="s">
        <v>1582</v>
      </c>
      <c r="F316" s="9">
        <v>935252637</v>
      </c>
      <c r="G316" s="12">
        <v>43353994</v>
      </c>
      <c r="H316" s="9" t="s">
        <v>1733</v>
      </c>
      <c r="I316" t="str">
        <f t="shared" si="4"/>
        <v>('ANCHANTE RICALES ARTURO OMAR','urb. Oliva razzeto mzn a J lote 28 PUEBLO NUEVO','PUEBLO NUEVO','Zona: Rosedal','935252637','43353994','F2'),</v>
      </c>
    </row>
    <row r="317" spans="1:9">
      <c r="A317" s="2">
        <v>367</v>
      </c>
      <c r="B317" s="9" t="s">
        <v>1638</v>
      </c>
      <c r="C317" s="9" t="s">
        <v>1639</v>
      </c>
      <c r="D317" s="9" t="s">
        <v>1683</v>
      </c>
      <c r="E317" s="9" t="s">
        <v>1725</v>
      </c>
      <c r="F317" s="9">
        <v>923069145</v>
      </c>
      <c r="G317" s="12">
        <v>43362314</v>
      </c>
      <c r="H317" s="9" t="s">
        <v>1722</v>
      </c>
      <c r="I317" t="str">
        <f t="shared" si="4"/>
        <v>('MENESES CANELO GLORIA MARIA','Tambo de Mora','TAMBO DE MORA','No especificado','923069145','43362314','F1'),</v>
      </c>
    </row>
    <row r="318" spans="1:9">
      <c r="A318" s="2">
        <v>368</v>
      </c>
      <c r="B318" s="9" t="s">
        <v>145</v>
      </c>
      <c r="C318" s="9" t="s">
        <v>146</v>
      </c>
      <c r="D318" s="9" t="s">
        <v>1679</v>
      </c>
      <c r="E318" s="9" t="s">
        <v>22</v>
      </c>
      <c r="F318" s="9">
        <v>934981060</v>
      </c>
      <c r="G318" s="12">
        <v>43413495</v>
      </c>
      <c r="H318" s="9" t="s">
        <v>1722</v>
      </c>
      <c r="I318" t="str">
        <f t="shared" si="4"/>
        <v>('MARTINEZ CASTILLA ANA CECILIA','PSJ JOSE SANTOS CHOCANO 145 - San Pedro de Pilpa','SUNAMPE','ZONA: SUNAMPE – SAN PILPA','934981060','43413495','F1'),</v>
      </c>
    </row>
    <row r="319" spans="1:9">
      <c r="A319" s="2">
        <v>369</v>
      </c>
      <c r="B319" s="9" t="s">
        <v>1194</v>
      </c>
      <c r="C319" s="9" t="s">
        <v>1195</v>
      </c>
      <c r="D319" s="9" t="s">
        <v>1679</v>
      </c>
      <c r="E319" s="9" t="s">
        <v>2</v>
      </c>
      <c r="F319" s="9" t="s">
        <v>1196</v>
      </c>
      <c r="G319" s="12">
        <v>43451897</v>
      </c>
      <c r="H319" s="9" t="s">
        <v>1722</v>
      </c>
      <c r="I319" t="str">
        <f t="shared" si="4"/>
        <v>('TORRES DE LA CRUZ DENISSE ANGELITA','AV. HUASCAR Nª 148 - C.P. SAN IGNACIO - SUNAMPE','SUNAMPE','ZONA: SUNAMPE – SAN IGNACIO','944 197 332','43451897','F1'),</v>
      </c>
    </row>
    <row r="320" spans="1:9">
      <c r="A320" s="2">
        <v>370</v>
      </c>
      <c r="B320" s="9" t="s">
        <v>822</v>
      </c>
      <c r="C320" s="9" t="s">
        <v>823</v>
      </c>
      <c r="D320" s="9" t="s">
        <v>1680</v>
      </c>
      <c r="E320" s="9" t="s">
        <v>27</v>
      </c>
      <c r="F320" s="9">
        <v>922397715</v>
      </c>
      <c r="G320" s="12">
        <v>43510116</v>
      </c>
      <c r="H320" s="9" t="s">
        <v>1722</v>
      </c>
      <c r="I320" t="str">
        <f t="shared" si="4"/>
        <v>('TORRES TASAYCO VICTOR HUGO','PSJ. 2 DE MAYO N° 309 - CRUZ BLANCA','CHINCHA ALTA','ZONA: CRUZ BLANCA PARTE BAJA','922397715','43510116','F1'),</v>
      </c>
    </row>
    <row r="321" spans="1:9">
      <c r="A321" s="2">
        <v>371</v>
      </c>
      <c r="B321" s="9" t="s">
        <v>226</v>
      </c>
      <c r="C321" s="9" t="s">
        <v>227</v>
      </c>
      <c r="D321" s="9" t="s">
        <v>1680</v>
      </c>
      <c r="E321" s="9" t="s">
        <v>27</v>
      </c>
      <c r="F321" s="9" t="s">
        <v>1708</v>
      </c>
      <c r="G321" s="12">
        <v>43515540</v>
      </c>
      <c r="H321" s="9" t="s">
        <v>1722</v>
      </c>
      <c r="I321" t="str">
        <f t="shared" si="4"/>
        <v>('MAGALLANES GARCIA MARITZA','TOMA DE CALA CRUZ BLANCA','CHINCHA ALTA','ZONA: CRUZ BLANCA PARTE BAJA','924 757 716','43515540','F1'),</v>
      </c>
    </row>
    <row r="322" spans="1:9">
      <c r="A322" s="2">
        <v>372</v>
      </c>
      <c r="B322" s="9" t="s">
        <v>855</v>
      </c>
      <c r="C322" s="9" t="s">
        <v>856</v>
      </c>
      <c r="D322" s="9" t="s">
        <v>1680</v>
      </c>
      <c r="E322" s="9" t="s">
        <v>765</v>
      </c>
      <c r="F322" s="9" t="s">
        <v>857</v>
      </c>
      <c r="G322" s="12">
        <v>43550706</v>
      </c>
      <c r="H322" s="9" t="s">
        <v>1722</v>
      </c>
      <c r="I322" t="str">
        <f t="shared" si="4"/>
        <v>('FLORES VALENZUELA MARIA JACKELINE','AV. PROGRESO N° 309 - CERCADO DE CHINCHA','CHINCHA ALTA','ZONA: CHINCHA - PROGRESO','955 552 511','43550706','F1'),</v>
      </c>
    </row>
    <row r="323" spans="1:9">
      <c r="A323" s="2">
        <v>373</v>
      </c>
      <c r="B323" s="9" t="s">
        <v>748</v>
      </c>
      <c r="C323" s="9" t="s">
        <v>749</v>
      </c>
      <c r="D323" s="9" t="s">
        <v>1679</v>
      </c>
      <c r="E323" s="9" t="s">
        <v>36</v>
      </c>
      <c r="F323" s="9">
        <v>955618902</v>
      </c>
      <c r="G323" s="12">
        <v>43560624</v>
      </c>
      <c r="H323" s="9" t="s">
        <v>1722</v>
      </c>
      <c r="I323" t="str">
        <f t="shared" ref="I323:I386" si="5">"('"&amp;B323&amp;"','"&amp;C323&amp;"','"&amp;D323&amp;"','"&amp;E323&amp;"','"&amp;F323&amp;"','"&amp;G323&amp;"','"&amp;H323&amp;"'),"</f>
        <v>('ALMEYDA AMORETTI EDGAR','AV. PARAISO, PSJ. 17 - LOMO LARGO - SUNAMPE','SUNAMPE','ZONA: SUNAMPE – PARAISO','955618902','43560624','F1'),</v>
      </c>
    </row>
    <row r="324" spans="1:9">
      <c r="A324" s="2">
        <v>375</v>
      </c>
      <c r="B324" s="9" t="s">
        <v>900</v>
      </c>
      <c r="C324" s="9" t="s">
        <v>901</v>
      </c>
      <c r="D324" s="9" t="s">
        <v>1682</v>
      </c>
      <c r="E324" s="9" t="s">
        <v>846</v>
      </c>
      <c r="F324" s="9" t="s">
        <v>902</v>
      </c>
      <c r="G324" s="12">
        <v>43610105</v>
      </c>
      <c r="H324" s="9" t="s">
        <v>1722</v>
      </c>
      <c r="I324" t="str">
        <f t="shared" si="5"/>
        <v>('AMARO FERNANDEZ CORNEJO LUIS MIGUEL','León de vivero mz 3 lt 16- pueblo nuevo','PUEBLO NUEVO','ZONA: PUEBLO - SALVADOR','995 389 364','43610105','F1'),</v>
      </c>
    </row>
    <row r="325" spans="1:9">
      <c r="A325" s="2">
        <v>376</v>
      </c>
      <c r="B325" s="9" t="s">
        <v>1154</v>
      </c>
      <c r="C325" s="9" t="s">
        <v>1155</v>
      </c>
      <c r="D325" s="9" t="s">
        <v>1679</v>
      </c>
      <c r="E325" s="9" t="s">
        <v>14</v>
      </c>
      <c r="F325" s="9" t="s">
        <v>1156</v>
      </c>
      <c r="G325" s="12">
        <v>43628022</v>
      </c>
      <c r="H325" s="9" t="s">
        <v>1722</v>
      </c>
      <c r="I325" t="str">
        <f t="shared" si="5"/>
        <v>('SANTIAGO SARAVIA VICTOR HUGO','UPIS DIVIDA MISERICORDIA MZ. B - LT. 06 - SUNAMPE (BALCONCITO)','SUNAMPE','ZONA: SUNAMPE – VILLA JULIA','920 654 635','43628022','F1'),</v>
      </c>
    </row>
    <row r="326" spans="1:9">
      <c r="A326" s="2">
        <v>377</v>
      </c>
      <c r="B326" s="9" t="s">
        <v>270</v>
      </c>
      <c r="C326" s="9" t="s">
        <v>271</v>
      </c>
      <c r="D326" s="9" t="s">
        <v>1679</v>
      </c>
      <c r="E326" s="9" t="s">
        <v>22</v>
      </c>
      <c r="F326" s="9" t="s">
        <v>272</v>
      </c>
      <c r="G326" s="12">
        <v>43650440</v>
      </c>
      <c r="H326" s="9" t="s">
        <v>1722</v>
      </c>
      <c r="I326" t="str">
        <f t="shared" si="5"/>
        <v>('CESAR MARTIN NAPA PRADO','Calle San Blas, Sunampe,  Chincha','SUNAMPE','ZONA: SUNAMPE – SAN PILPA','943 395 596','43650440','F1'),</v>
      </c>
    </row>
    <row r="327" spans="1:9">
      <c r="A327" s="2">
        <v>378</v>
      </c>
      <c r="B327" s="9" t="s">
        <v>279</v>
      </c>
      <c r="C327" s="9" t="s">
        <v>280</v>
      </c>
      <c r="D327" s="9" t="s">
        <v>1681</v>
      </c>
      <c r="E327" s="9" t="s">
        <v>11</v>
      </c>
      <c r="F327" s="9">
        <v>912649846</v>
      </c>
      <c r="G327" s="12">
        <v>43656887</v>
      </c>
      <c r="H327" s="9" t="s">
        <v>1722</v>
      </c>
      <c r="I327" t="str">
        <f t="shared" si="5"/>
        <v>('SARAVIA MENDOZA LIZ AURORA','Psj. Nueva Esperanza Lt. 20 - Grocio Prado','GROCIO PRADO','ZONA: GROCIO - MEJILLONEROS','912649846','43656887','F1'),</v>
      </c>
    </row>
    <row r="328" spans="1:9">
      <c r="A328" s="2">
        <v>379</v>
      </c>
      <c r="B328" s="9" t="s">
        <v>905</v>
      </c>
      <c r="C328" s="9" t="s">
        <v>906</v>
      </c>
      <c r="D328" s="9" t="s">
        <v>1682</v>
      </c>
      <c r="E328" s="9" t="s">
        <v>846</v>
      </c>
      <c r="F328" s="9">
        <v>997128856</v>
      </c>
      <c r="G328" s="12">
        <v>43718176</v>
      </c>
      <c r="H328" s="9" t="s">
        <v>1733</v>
      </c>
      <c r="I328" t="str">
        <f t="shared" si="5"/>
        <v>('MUCHAYPIÑA AGUILAR WILMER OMAR','AA.HH. BEATA MELCHORITA MZ. C LT. 05 - PUEBLO NUEVO','PUEBLO NUEVO','ZONA: PUEBLO - SALVADOR','997128856','43718176','F2'),</v>
      </c>
    </row>
    <row r="329" spans="1:9">
      <c r="A329" s="2">
        <v>381</v>
      </c>
      <c r="B329" s="9" t="s">
        <v>807</v>
      </c>
      <c r="C329" s="9" t="s">
        <v>808</v>
      </c>
      <c r="D329" s="9" t="s">
        <v>1680</v>
      </c>
      <c r="E329" s="9" t="s">
        <v>99</v>
      </c>
      <c r="F329" s="9">
        <v>989975830</v>
      </c>
      <c r="G329" s="12">
        <v>43780022</v>
      </c>
      <c r="H329" s="9" t="s">
        <v>1733</v>
      </c>
      <c r="I329" t="str">
        <f t="shared" si="5"/>
        <v>('MAGALLANES HERRERA MARITZA','PSJ. PRIMAVERA S/N - CRUZ BLANCA - CHINCHA','CHINCHA ALTA','ZONA: CRUZ BLANCA CAMPO','989975830','43780022','F2'),</v>
      </c>
    </row>
    <row r="330" spans="1:9">
      <c r="A330" s="2">
        <v>383</v>
      </c>
      <c r="B330" s="9" t="s">
        <v>523</v>
      </c>
      <c r="C330" s="9" t="s">
        <v>524</v>
      </c>
      <c r="D330" s="9" t="s">
        <v>1681</v>
      </c>
      <c r="E330" s="9" t="s">
        <v>11</v>
      </c>
      <c r="F330" s="9">
        <v>907365864</v>
      </c>
      <c r="G330" s="12">
        <v>43904616</v>
      </c>
      <c r="H330" s="9" t="s">
        <v>1722</v>
      </c>
      <c r="I330" t="str">
        <f t="shared" si="5"/>
        <v>('PEÑA VERA MARIELLA ROSALIA','CALLE JUAN CASTILLO RONCEROS S/N - GROCIO PRADO','GROCIO PRADO','ZONA: GROCIO - MEJILLONEROS','907365864','43904616','F1'),</v>
      </c>
    </row>
    <row r="331" spans="1:9">
      <c r="A331" s="2">
        <v>384</v>
      </c>
      <c r="B331" s="9" t="s">
        <v>323</v>
      </c>
      <c r="C331" s="9" t="s">
        <v>324</v>
      </c>
      <c r="D331" s="9" t="s">
        <v>1679</v>
      </c>
      <c r="E331" s="9" t="s">
        <v>71</v>
      </c>
      <c r="F331" s="9">
        <v>976531454</v>
      </c>
      <c r="G331" s="12">
        <v>43907394</v>
      </c>
      <c r="H331" s="9" t="s">
        <v>1722</v>
      </c>
      <c r="I331" t="str">
        <f t="shared" si="5"/>
        <v>('FELIX GARCIA FLOR MEDALY','Av. primavera 722 Sunampe','SUNAMPE','ZONA: SUNAMPE – SANTA FE','976531454','43907394','F1'),</v>
      </c>
    </row>
    <row r="332" spans="1:9">
      <c r="A332" s="2">
        <v>385</v>
      </c>
      <c r="B332" s="9" t="s">
        <v>1227</v>
      </c>
      <c r="C332" s="9" t="s">
        <v>1228</v>
      </c>
      <c r="D332" s="9" t="s">
        <v>1682</v>
      </c>
      <c r="E332" s="9" t="s">
        <v>1106</v>
      </c>
      <c r="F332" s="9">
        <v>907525014</v>
      </c>
      <c r="G332" s="12">
        <v>43949731</v>
      </c>
      <c r="H332" s="9" t="s">
        <v>1722</v>
      </c>
      <c r="I332" t="str">
        <f t="shared" si="5"/>
        <v>('AGUILAR CHUMPITAZ GIOVANA','JR. GARCILAZO DE LA VEGA Nº 12 - SECTOR LOS ALAMOS - PUEBLO NUEVO','PUEBLO NUEVO','ZONA: PUEBLO - TECHO PROPIO','907525014','43949731','F1'),</v>
      </c>
    </row>
    <row r="333" spans="1:9">
      <c r="A333" s="2">
        <v>386</v>
      </c>
      <c r="B333" s="9" t="s">
        <v>960</v>
      </c>
      <c r="C333" s="9" t="s">
        <v>961</v>
      </c>
      <c r="D333" s="9" t="s">
        <v>1680</v>
      </c>
      <c r="E333" s="9" t="s">
        <v>90</v>
      </c>
      <c r="F333" s="9">
        <v>955401079</v>
      </c>
      <c r="G333" s="12">
        <v>43976098</v>
      </c>
      <c r="H333" s="9" t="s">
        <v>1722</v>
      </c>
      <c r="I333" t="str">
        <f t="shared" si="5"/>
        <v>('SEBASTIAN FLORES DEYCI YOVANA','C.P. CONDORILLO ALTO - MZ N - LT. 16 - CHINCHA ALTA','CHINCHA ALTA','ZONA: CONDORILLO PARTE ALTA','955401079','43976098','F1'),</v>
      </c>
    </row>
    <row r="334" spans="1:9">
      <c r="A334" s="2">
        <v>387</v>
      </c>
      <c r="B334" s="9" t="s">
        <v>141</v>
      </c>
      <c r="C334" s="9" t="s">
        <v>142</v>
      </c>
      <c r="D334" s="9" t="s">
        <v>1680</v>
      </c>
      <c r="E334" s="9" t="s">
        <v>99</v>
      </c>
      <c r="F334" s="9">
        <v>921517689</v>
      </c>
      <c r="G334" s="12">
        <v>44051352</v>
      </c>
      <c r="H334" s="9" t="s">
        <v>1722</v>
      </c>
      <c r="I334" t="str">
        <f t="shared" si="5"/>
        <v>('QUISPE PAUCAR SANTA LUCIA EUGENIA','CC.PP. NUEVO CONDORILLO - SAN VALENTIN A-1','CHINCHA ALTA','ZONA: CRUZ BLANCA CAMPO','921517689','44051352','F1'),</v>
      </c>
    </row>
    <row r="335" spans="1:9">
      <c r="A335" s="2">
        <v>388</v>
      </c>
      <c r="B335" s="9" t="s">
        <v>155</v>
      </c>
      <c r="C335" s="9" t="s">
        <v>156</v>
      </c>
      <c r="D335" s="9" t="s">
        <v>1679</v>
      </c>
      <c r="E335" s="9" t="s">
        <v>5</v>
      </c>
      <c r="F335" s="9">
        <v>986252415</v>
      </c>
      <c r="G335" s="12">
        <v>44071823</v>
      </c>
      <c r="H335" s="9" t="s">
        <v>1722</v>
      </c>
      <c r="I335" t="str">
        <f t="shared" si="5"/>
        <v>('NAVARRETE QUISPE NELSON NOEL','Calle Santa Rosa - Sunampe','SUNAMPE','ZONA: SUNAMPE – SANTA ROSA','986252415','44071823','F1'),</v>
      </c>
    </row>
    <row r="336" spans="1:9">
      <c r="A336" s="2">
        <v>389</v>
      </c>
      <c r="B336" s="9" t="s">
        <v>147</v>
      </c>
      <c r="C336" s="9" t="s">
        <v>148</v>
      </c>
      <c r="D336" s="9" t="s">
        <v>1679</v>
      </c>
      <c r="E336" s="9" t="s">
        <v>36</v>
      </c>
      <c r="F336" s="9">
        <v>937002689</v>
      </c>
      <c r="G336" s="12">
        <v>44077389</v>
      </c>
      <c r="H336" s="9" t="s">
        <v>1722</v>
      </c>
      <c r="I336" t="str">
        <f t="shared" si="5"/>
        <v>('FUENTES CHAVEZ LUIS ARMANDO','Calle los Angeles 449 - Lomo Largo','SUNAMPE','ZONA: SUNAMPE – PARAISO','937002689','44077389','F1'),</v>
      </c>
    </row>
    <row r="337" spans="1:9">
      <c r="A337" s="2">
        <v>390</v>
      </c>
      <c r="B337" s="9" t="s">
        <v>589</v>
      </c>
      <c r="C337" s="9" t="s">
        <v>590</v>
      </c>
      <c r="D337" s="9" t="s">
        <v>1679</v>
      </c>
      <c r="E337" s="9" t="s">
        <v>135</v>
      </c>
      <c r="F337" s="9">
        <v>961616597</v>
      </c>
      <c r="G337" s="12">
        <v>44080780</v>
      </c>
      <c r="H337" s="9" t="s">
        <v>1733</v>
      </c>
      <c r="I337" t="str">
        <f t="shared" si="5"/>
        <v>('VILLAVICENCIO SALVADOR MARTIN GUILLERMO','Urb. las palmeras F15 Huaca grande','SUNAMPE','ZONA: SUNAMPE – HUACA GRANDE','961616597','44080780','F2'),</v>
      </c>
    </row>
    <row r="338" spans="1:9">
      <c r="A338" s="2">
        <v>392</v>
      </c>
      <c r="B338" s="9" t="s">
        <v>1069</v>
      </c>
      <c r="C338" s="9" t="s">
        <v>1070</v>
      </c>
      <c r="D338" s="9" t="s">
        <v>1682</v>
      </c>
      <c r="E338" s="9" t="s">
        <v>846</v>
      </c>
      <c r="F338" s="9">
        <v>902226993</v>
      </c>
      <c r="G338" s="12">
        <v>44136139</v>
      </c>
      <c r="H338" s="9" t="s">
        <v>1733</v>
      </c>
      <c r="I338" t="str">
        <f t="shared" si="5"/>
        <v>('PAZ CASAVERDE VANESSA','UPIS HUSARES DE JUNIN MZ. E LT. 06 - PUEBLO NUEVO','PUEBLO NUEVO','ZONA: PUEBLO - SALVADOR','902226993','44136139','F2'),</v>
      </c>
    </row>
    <row r="339" spans="1:9">
      <c r="A339" s="2">
        <v>394</v>
      </c>
      <c r="B339" s="9" t="s">
        <v>1150</v>
      </c>
      <c r="C339" s="9" t="s">
        <v>1151</v>
      </c>
      <c r="D339" s="9" t="s">
        <v>1682</v>
      </c>
      <c r="E339" s="9" t="s">
        <v>846</v>
      </c>
      <c r="F339" s="9">
        <v>995029580</v>
      </c>
      <c r="G339" s="12">
        <v>44176871</v>
      </c>
      <c r="H339" s="9" t="s">
        <v>1722</v>
      </c>
      <c r="I339" t="str">
        <f t="shared" si="5"/>
        <v>('BARILLAS PEVE DANIEL CERAFIN','CL. SEBASTIAN BARRANCA LOTE Nª 14-C - FUNDO COLORADO - GROCIO PRADO','PUEBLO NUEVO','ZONA: PUEBLO - SALVADOR','995029580','44176871','F1'),</v>
      </c>
    </row>
    <row r="340" spans="1:9">
      <c r="A340" s="2">
        <v>395</v>
      </c>
      <c r="B340" s="9" t="s">
        <v>1684</v>
      </c>
      <c r="C340" s="9" t="s">
        <v>1</v>
      </c>
      <c r="D340" s="9" t="s">
        <v>1679</v>
      </c>
      <c r="E340" s="9" t="s">
        <v>2</v>
      </c>
      <c r="F340" s="9">
        <v>934500127</v>
      </c>
      <c r="G340" s="12">
        <v>44195560</v>
      </c>
      <c r="H340" s="9" t="s">
        <v>1722</v>
      </c>
      <c r="I340" t="str">
        <f t="shared" si="5"/>
        <v>('TAMANI PACAYA ELITA','CARR SUNAMPE NRO. PUERTA 391 B C.P. HUACA GRANDE - SUNAMPE','SUNAMPE','ZONA: SUNAMPE – SAN IGNACIO','934500127','44195560','F1'),</v>
      </c>
    </row>
    <row r="341" spans="1:9">
      <c r="A341" s="2">
        <v>396</v>
      </c>
      <c r="B341" s="9" t="s">
        <v>1573</v>
      </c>
      <c r="C341" s="9" t="s">
        <v>1574</v>
      </c>
      <c r="D341" s="9" t="s">
        <v>1681</v>
      </c>
      <c r="E341" s="9" t="s">
        <v>1575</v>
      </c>
      <c r="F341" s="9">
        <v>969971167</v>
      </c>
      <c r="G341" s="12">
        <v>44219860</v>
      </c>
      <c r="H341" s="9" t="s">
        <v>1722</v>
      </c>
      <c r="I341" t="str">
        <f t="shared" si="5"/>
        <v>('ANTON NAVARRO CINDY ANALI','Av. centenario 700','GROCIO PRADO','Zona: TechoPropio 2','969971167','44219860','F1'),</v>
      </c>
    </row>
    <row r="342" spans="1:9">
      <c r="A342" s="2">
        <v>401</v>
      </c>
      <c r="B342" s="9" t="s">
        <v>693</v>
      </c>
      <c r="C342" s="9" t="s">
        <v>694</v>
      </c>
      <c r="D342" s="9" t="s">
        <v>1679</v>
      </c>
      <c r="E342" s="9" t="s">
        <v>36</v>
      </c>
      <c r="F342" s="9">
        <v>936761846</v>
      </c>
      <c r="G342" s="12">
        <v>44321772</v>
      </c>
      <c r="H342" s="9" t="s">
        <v>1722</v>
      </c>
      <c r="I342" t="str">
        <f t="shared" si="5"/>
        <v>('ALMEYDA AMORETTI YESSYCA','AV. PARAISO - LOMO LARGO REF. COSTADO DE LA CAPILLA CACHUY','SUNAMPE','ZONA: SUNAMPE – PARAISO','936761846','44321772','F1'),</v>
      </c>
    </row>
    <row r="343" spans="1:9">
      <c r="A343" s="2">
        <v>403</v>
      </c>
      <c r="B343" s="9" t="s">
        <v>175</v>
      </c>
      <c r="C343" s="9" t="s">
        <v>176</v>
      </c>
      <c r="D343" s="9" t="s">
        <v>1679</v>
      </c>
      <c r="E343" s="9" t="s">
        <v>8</v>
      </c>
      <c r="F343" s="9">
        <v>971054315</v>
      </c>
      <c r="G343" s="12">
        <v>44338673</v>
      </c>
      <c r="H343" s="9" t="s">
        <v>1722</v>
      </c>
      <c r="I343" t="str">
        <f t="shared" si="5"/>
        <v>('CHUMBIAUCA LEVANO LUIS','Paso de gomez , empezando huaca grande sunampe','SUNAMPE','ZONA: SUNAMPE – COLEGIO','971054315','44338673','F1'),</v>
      </c>
    </row>
    <row r="344" spans="1:9">
      <c r="A344" s="2">
        <v>404</v>
      </c>
      <c r="B344" s="9" t="s">
        <v>446</v>
      </c>
      <c r="C344" s="9" t="s">
        <v>447</v>
      </c>
      <c r="D344" s="9" t="s">
        <v>1680</v>
      </c>
      <c r="E344" s="9" t="s">
        <v>90</v>
      </c>
      <c r="F344" s="9">
        <v>961760053</v>
      </c>
      <c r="G344" s="12">
        <v>44338677</v>
      </c>
      <c r="H344" s="9" t="s">
        <v>1733</v>
      </c>
      <c r="I344" t="str">
        <f t="shared" si="5"/>
        <v>('MANRIQUE CHUQUISPUMA LUIS WALTER','Condorillo Alto Mz O Lt 12','CHINCHA ALTA','ZONA: CONDORILLO PARTE ALTA','961760053','44338677','F2'),</v>
      </c>
    </row>
    <row r="345" spans="1:9">
      <c r="A345" s="2">
        <v>405</v>
      </c>
      <c r="B345" s="9" t="s">
        <v>1097</v>
      </c>
      <c r="C345" s="9" t="s">
        <v>1098</v>
      </c>
      <c r="D345" s="9" t="s">
        <v>1682</v>
      </c>
      <c r="E345" s="9" t="s">
        <v>846</v>
      </c>
      <c r="F345" s="9">
        <v>972573295</v>
      </c>
      <c r="G345" s="12">
        <v>44364538</v>
      </c>
      <c r="H345" s="9" t="s">
        <v>1722</v>
      </c>
      <c r="I345" t="str">
        <f t="shared" si="5"/>
        <v>('VASQUEZ CHUQUISPUMA RUTH ESTHER','CL. SEBASTIAN BARRANCA Nº 3 C-1 - FUNDO COLORADO - GROCIO PRADO','PUEBLO NUEVO','ZONA: PUEBLO - SALVADOR','972573295','44364538','F1'),</v>
      </c>
    </row>
    <row r="346" spans="1:9">
      <c r="A346" s="2">
        <v>406</v>
      </c>
      <c r="B346" s="9" t="s">
        <v>1305</v>
      </c>
      <c r="C346" s="9" t="s">
        <v>1306</v>
      </c>
      <c r="D346" s="9" t="s">
        <v>1679</v>
      </c>
      <c r="E346" s="9" t="s">
        <v>2</v>
      </c>
      <c r="F346" s="9">
        <v>975067710</v>
      </c>
      <c r="G346" s="12">
        <v>44411741</v>
      </c>
      <c r="H346" s="9" t="s">
        <v>1722</v>
      </c>
      <c r="I346" t="str">
        <f t="shared" si="5"/>
        <v>('TORRES SALVADOR FERNANDO','PSJE SAN FRANCISCO NRO. PUERTA 176 - C.P. SAN IGNACIO - SUNAMPE','SUNAMPE','ZONA: SUNAMPE – SAN IGNACIO','975067710','44411741','F1'),</v>
      </c>
    </row>
    <row r="347" spans="1:9">
      <c r="A347" s="2">
        <v>407</v>
      </c>
      <c r="B347" s="9" t="s">
        <v>1597</v>
      </c>
      <c r="C347" s="9" t="s">
        <v>1598</v>
      </c>
      <c r="D347" s="9" t="s">
        <v>1680</v>
      </c>
      <c r="E347" s="9" t="s">
        <v>1594</v>
      </c>
      <c r="F347" s="9">
        <v>934160348</v>
      </c>
      <c r="G347" s="12">
        <v>44423966</v>
      </c>
      <c r="H347" s="9" t="s">
        <v>1722</v>
      </c>
      <c r="I347" t="str">
        <f t="shared" si="5"/>
        <v>('VASQUEZ VALENCIA JESUS MARTIN','Calle Pedro Ronceros #104','CHINCHA ALTA','Zona: Chincha','934160348','44423966','F1'),</v>
      </c>
    </row>
    <row r="348" spans="1:9">
      <c r="A348" s="2">
        <v>408</v>
      </c>
      <c r="B348" s="9" t="s">
        <v>216</v>
      </c>
      <c r="C348" s="9" t="s">
        <v>217</v>
      </c>
      <c r="D348" s="9" t="s">
        <v>1679</v>
      </c>
      <c r="E348" s="9" t="s">
        <v>2</v>
      </c>
      <c r="F348" s="9">
        <v>934453865</v>
      </c>
      <c r="G348" s="12">
        <v>44483361</v>
      </c>
      <c r="H348" s="9" t="s">
        <v>1722</v>
      </c>
      <c r="I348" t="str">
        <f t="shared" si="5"/>
        <v>('PEREZ ROMERO NELBIS MARIA','PSJ. SAN MARTIN - SAN IGNACIO - SUNAMPE','SUNAMPE','ZONA: SUNAMPE – SAN IGNACIO','934453865','44483361','F1'),</v>
      </c>
    </row>
    <row r="349" spans="1:9">
      <c r="A349" s="2">
        <v>410</v>
      </c>
      <c r="B349" s="9" t="s">
        <v>1037</v>
      </c>
      <c r="C349" s="9" t="s">
        <v>1038</v>
      </c>
      <c r="D349" s="9" t="s">
        <v>1679</v>
      </c>
      <c r="E349" s="9" t="s">
        <v>106</v>
      </c>
      <c r="F349" s="9">
        <v>995734338</v>
      </c>
      <c r="G349" s="12">
        <v>44521340</v>
      </c>
      <c r="H349" s="9" t="s">
        <v>1722</v>
      </c>
      <c r="I349" t="str">
        <f t="shared" si="5"/>
        <v>('BOGA SIGUAS GIANCARLO','AA.HH. SAN JUDAS TADEO MZ. E LT. 1 - SUNAMPE','SUNAMPE','ZONA: SUNAMPE - MINA DE ORO','995734338','44521340','F1'),</v>
      </c>
    </row>
    <row r="350" spans="1:9">
      <c r="A350" s="2">
        <v>411</v>
      </c>
      <c r="B350" s="9" t="s">
        <v>886</v>
      </c>
      <c r="C350" s="9" t="s">
        <v>887</v>
      </c>
      <c r="D350" s="9" t="s">
        <v>1682</v>
      </c>
      <c r="E350" s="9" t="s">
        <v>846</v>
      </c>
      <c r="F350" s="9" t="s">
        <v>888</v>
      </c>
      <c r="G350" s="12">
        <v>44533511</v>
      </c>
      <c r="H350" s="9" t="s">
        <v>1722</v>
      </c>
      <c r="I350" t="str">
        <f t="shared" si="5"/>
        <v>('MARALLANO FLORES CATHERIN JULISSA','URB. LEON DE VIVERO MZ. 17 LT. 07 - PUEBLO NUEVO','PUEBLO NUEVO','ZONA: PUEBLO - SALVADOR','931 260 639','44533511','F1'),</v>
      </c>
    </row>
    <row r="351" spans="1:9">
      <c r="A351" s="2">
        <v>412</v>
      </c>
      <c r="B351" s="9" t="s">
        <v>679</v>
      </c>
      <c r="C351" s="9" t="s">
        <v>680</v>
      </c>
      <c r="D351" s="9" t="s">
        <v>1679</v>
      </c>
      <c r="E351" s="9" t="s">
        <v>8</v>
      </c>
      <c r="F351" s="9">
        <v>978741188</v>
      </c>
      <c r="G351" s="12">
        <v>44535961</v>
      </c>
      <c r="H351" s="9" t="s">
        <v>1722</v>
      </c>
      <c r="I351" t="str">
        <f t="shared" si="5"/>
        <v>('CHUMBIAUCA ALMEYDA ELIZABETH','AV. PRINCIPAL S/N, HUACA GRANDE','SUNAMPE','ZONA: SUNAMPE – COLEGIO','978741188','44535961','F1'),</v>
      </c>
    </row>
    <row r="352" spans="1:9">
      <c r="A352" s="2">
        <v>413</v>
      </c>
      <c r="B352" s="9" t="s">
        <v>880</v>
      </c>
      <c r="C352" s="9" t="s">
        <v>881</v>
      </c>
      <c r="D352" s="9" t="s">
        <v>1680</v>
      </c>
      <c r="E352" s="9" t="s">
        <v>126</v>
      </c>
      <c r="F352" s="9">
        <v>913598494</v>
      </c>
      <c r="G352" s="12">
        <v>44545567</v>
      </c>
      <c r="H352" s="9" t="s">
        <v>1722</v>
      </c>
      <c r="I352" t="str">
        <f t="shared" si="5"/>
        <v>('CALDERON TASAYCO BIANCA FABIOLA','AA.HH. VIRGEN DEL CARMEN MZ. C LT.06 - CHINCHA ALTA','CHINCHA ALTA','ZONA: CRUZ BLANCA VIRGEN CARMEN','913598494','44545567','F1'),</v>
      </c>
    </row>
    <row r="353" spans="1:9">
      <c r="A353" s="2">
        <v>414</v>
      </c>
      <c r="B353" s="9" t="s">
        <v>384</v>
      </c>
      <c r="C353" s="9" t="s">
        <v>385</v>
      </c>
      <c r="D353" s="9" t="s">
        <v>1679</v>
      </c>
      <c r="E353" s="9" t="s">
        <v>8</v>
      </c>
      <c r="F353" s="9">
        <v>952911138</v>
      </c>
      <c r="G353" s="12">
        <v>44570382</v>
      </c>
      <c r="H353" s="9" t="s">
        <v>1722</v>
      </c>
      <c r="I353" t="str">
        <f t="shared" si="5"/>
        <v>('TASAYCO DE LA CRUZ PEDRO JUAN','AV.FATIMA PASANDO BODEGA VIÑA SAN FRANCISCO','SUNAMPE','ZONA: SUNAMPE – COLEGIO','952911138','44570382','F1'),</v>
      </c>
    </row>
    <row r="354" spans="1:9">
      <c r="A354" s="2">
        <v>415</v>
      </c>
      <c r="B354" s="9" t="s">
        <v>921</v>
      </c>
      <c r="C354" s="9" t="s">
        <v>922</v>
      </c>
      <c r="D354" s="9" t="s">
        <v>1680</v>
      </c>
      <c r="E354" s="9" t="s">
        <v>126</v>
      </c>
      <c r="F354" s="9">
        <v>903045849</v>
      </c>
      <c r="G354" s="12">
        <v>44591663</v>
      </c>
      <c r="H354" s="9" t="s">
        <v>1722</v>
      </c>
      <c r="I354" t="str">
        <f t="shared" si="5"/>
        <v>('MARTINEZ YATACO VERONICA LISSET','AA.HH. VIRGEN DEL CARMEN MZ. I LT. 6 - CHINCHA ALTA','CHINCHA ALTA','ZONA: CRUZ BLANCA VIRGEN CARMEN','903045849','44591663','F1'),</v>
      </c>
    </row>
    <row r="355" spans="1:9">
      <c r="A355" s="2">
        <v>416</v>
      </c>
      <c r="B355" s="9" t="s">
        <v>670</v>
      </c>
      <c r="C355" s="9" t="s">
        <v>671</v>
      </c>
      <c r="D355" s="9" t="s">
        <v>1680</v>
      </c>
      <c r="E355" s="9" t="s">
        <v>126</v>
      </c>
      <c r="F355" s="9" t="s">
        <v>672</v>
      </c>
      <c r="G355" s="12">
        <v>44602371</v>
      </c>
      <c r="H355" s="9" t="s">
        <v>1722</v>
      </c>
      <c r="I355" t="str">
        <f t="shared" si="5"/>
        <v>('GONZALES AQUIJE ANGELINA CAROLINA NATHALY','AA.HH. VIRGEN DEL CARMEN MZ. H LT. 02 - CRUZ BLANCA','CHINCHA ALTA','ZONA: CRUZ BLANCA VIRGEN CARMEN','930 595 896','44602371','F1'),</v>
      </c>
    </row>
    <row r="356" spans="1:9">
      <c r="A356" s="2">
        <v>417</v>
      </c>
      <c r="B356" s="9" t="s">
        <v>190</v>
      </c>
      <c r="C356" s="9" t="s">
        <v>191</v>
      </c>
      <c r="D356" s="9" t="s">
        <v>1679</v>
      </c>
      <c r="E356" s="9" t="s">
        <v>22</v>
      </c>
      <c r="F356" s="9">
        <v>957408746</v>
      </c>
      <c r="G356" s="12">
        <v>44658446</v>
      </c>
      <c r="H356" s="9" t="s">
        <v>1722</v>
      </c>
      <c r="I356" t="str">
        <f t="shared" si="5"/>
        <v>('AGUILAR RIVERA NATALY CRISS','CL. ALFONSO UGARTE N° 160, SAN PEDRO DE PILPA - SUNAMPE','SUNAMPE','ZONA: SUNAMPE – SAN PILPA','957408746','44658446','F1'),</v>
      </c>
    </row>
    <row r="357" spans="1:9">
      <c r="A357" s="2">
        <v>419</v>
      </c>
      <c r="B357" s="9" t="s">
        <v>1427</v>
      </c>
      <c r="C357" s="9" t="s">
        <v>1428</v>
      </c>
      <c r="D357" s="9" t="s">
        <v>1682</v>
      </c>
      <c r="E357" s="9" t="s">
        <v>1372</v>
      </c>
      <c r="F357" s="9">
        <v>916729081</v>
      </c>
      <c r="G357" s="12">
        <v>44732272</v>
      </c>
      <c r="H357" s="9" t="s">
        <v>1722</v>
      </c>
      <c r="I357" t="str">
        <f t="shared" si="5"/>
        <v>('HERMES LIZANDRO LEON MERCADO','AA. HH. LUCIO JUAREZ OCHOA MZ. E - LOTE 01 - PUEBLO NUEVO','PUEBLO NUEVO','ZONA: PUEBLO - SATELITE','916729081','44732272','F1'),</v>
      </c>
    </row>
    <row r="358" spans="1:9">
      <c r="A358" s="2">
        <v>420</v>
      </c>
      <c r="B358" s="9" t="s">
        <v>663</v>
      </c>
      <c r="C358" s="9" t="s">
        <v>664</v>
      </c>
      <c r="D358" s="9" t="s">
        <v>1679</v>
      </c>
      <c r="E358" s="9" t="s">
        <v>135</v>
      </c>
      <c r="F358" s="9" t="s">
        <v>665</v>
      </c>
      <c r="G358" s="12">
        <v>44749019</v>
      </c>
      <c r="H358" s="9" t="s">
        <v>1722</v>
      </c>
      <c r="I358" t="str">
        <f t="shared" si="5"/>
        <v>('DE LA CRUZ CONTRERAS RICHARD JESUS','Av.fatima última cuadra , pasando bodega Viña San Francisco','SUNAMPE','ZONA: SUNAMPE – HUACA GRANDE','944 498 166','44749019','F1'),</v>
      </c>
    </row>
    <row r="359" spans="1:9">
      <c r="A359" s="2">
        <v>421</v>
      </c>
      <c r="B359" s="9" t="s">
        <v>1054</v>
      </c>
      <c r="C359" s="9" t="s">
        <v>1055</v>
      </c>
      <c r="D359" s="9" t="s">
        <v>1680</v>
      </c>
      <c r="E359" s="9" t="s">
        <v>126</v>
      </c>
      <c r="F359" s="9" t="s">
        <v>1056</v>
      </c>
      <c r="G359" s="12">
        <v>44771538</v>
      </c>
      <c r="H359" s="9" t="s">
        <v>1722</v>
      </c>
      <c r="I359" t="str">
        <f t="shared" si="5"/>
        <v>('ALMEYDA NAPA GLORIA','AA.HH. VIRGEN DEL CARMEN MZ. B LT. 04 - CHINCHA ALTA','CHINCHA ALTA','ZONA: CRUZ BLANCA VIRGEN CARMEN','942 370 984','44771538','F1'),</v>
      </c>
    </row>
    <row r="360" spans="1:9">
      <c r="A360" s="2">
        <v>423</v>
      </c>
      <c r="B360" s="9" t="s">
        <v>1320</v>
      </c>
      <c r="C360" s="9" t="s">
        <v>1321</v>
      </c>
      <c r="D360" s="9" t="s">
        <v>1682</v>
      </c>
      <c r="E360" s="9" t="s">
        <v>1257</v>
      </c>
      <c r="F360" s="9">
        <v>984607910</v>
      </c>
      <c r="G360" s="12">
        <v>44818839</v>
      </c>
      <c r="H360" s="9" t="s">
        <v>1722</v>
      </c>
      <c r="I360" t="str">
        <f t="shared" si="5"/>
        <v>('ACEVEDO MARTINEZ YOVANA','AV. SAN ISIDRO N° 1201 - PUEBLO NUEVO','PUEBLO NUEVO','ZONA: PUEBLO - LAS AMERICAS','984607910','44818839','F1'),</v>
      </c>
    </row>
    <row r="361" spans="1:9">
      <c r="A361" s="2">
        <v>424</v>
      </c>
      <c r="B361" s="9" t="s">
        <v>266</v>
      </c>
      <c r="C361" s="9" t="s">
        <v>267</v>
      </c>
      <c r="D361" s="9" t="s">
        <v>1679</v>
      </c>
      <c r="E361" s="9" t="s">
        <v>22</v>
      </c>
      <c r="F361" s="9">
        <v>936474324</v>
      </c>
      <c r="G361" s="12">
        <v>44840113</v>
      </c>
      <c r="H361" s="9" t="s">
        <v>1722</v>
      </c>
      <c r="I361" t="str">
        <f t="shared" si="5"/>
        <v>('MEDINA ATUNCAR ANDY NOEL','San Martin 698 - San pedro de pilpa - Sunampe','SUNAMPE','ZONA: SUNAMPE – SAN PILPA','936474324','44840113','F1'),</v>
      </c>
    </row>
    <row r="362" spans="1:9">
      <c r="A362" s="2">
        <v>425</v>
      </c>
      <c r="B362" s="9" t="s">
        <v>706</v>
      </c>
      <c r="C362" s="9" t="s">
        <v>707</v>
      </c>
      <c r="D362" s="9" t="s">
        <v>1680</v>
      </c>
      <c r="E362" s="9" t="s">
        <v>126</v>
      </c>
      <c r="F362" s="9">
        <v>966739081</v>
      </c>
      <c r="G362" s="12">
        <v>44857660</v>
      </c>
      <c r="H362" s="9" t="s">
        <v>1722</v>
      </c>
      <c r="I362" t="str">
        <f t="shared" si="5"/>
        <v>('GUTIERREZ PACHAS CESAR FERNANDO','TOMA DE CALA LOTE 11 - CRUZ BLANCA','CHINCHA ALTA','ZONA: CRUZ BLANCA VIRGEN CARMEN','966739081','44857660','F1'),</v>
      </c>
    </row>
    <row r="363" spans="1:9">
      <c r="A363" s="2">
        <v>426</v>
      </c>
      <c r="B363" s="9" t="s">
        <v>1659</v>
      </c>
      <c r="C363" s="9" t="s">
        <v>1660</v>
      </c>
      <c r="D363" s="9" t="s">
        <v>1679</v>
      </c>
      <c r="E363" s="9" t="s">
        <v>1642</v>
      </c>
      <c r="F363" s="9" t="s">
        <v>1661</v>
      </c>
      <c r="G363" s="12">
        <v>44879432</v>
      </c>
      <c r="H363" s="9" t="s">
        <v>1722</v>
      </c>
      <c r="I363" t="str">
        <f t="shared" si="5"/>
        <v>('PEREZ TALLA FABIOLA','Calle San José S/N','SUNAMPE','Zona: Sunampe','906 192 714','44879432','F1'),</v>
      </c>
    </row>
    <row r="364" spans="1:9">
      <c r="A364" s="2">
        <v>427</v>
      </c>
      <c r="B364" s="9" t="s">
        <v>1689</v>
      </c>
      <c r="C364" s="9" t="s">
        <v>1704</v>
      </c>
      <c r="D364" s="9" t="s">
        <v>1680</v>
      </c>
      <c r="E364" s="9" t="s">
        <v>27</v>
      </c>
      <c r="F364" s="9">
        <v>998002707</v>
      </c>
      <c r="G364" s="12">
        <v>44889335</v>
      </c>
      <c r="H364" s="9" t="s">
        <v>1722</v>
      </c>
      <c r="I364" t="str">
        <f t="shared" si="5"/>
        <v>('CASTILLA ALMEYDA EVELYN LISSETE','Calle el carmen 107 - Cruz blanca','CHINCHA ALTA','ZONA: CRUZ BLANCA PARTE BAJA','998002707','44889335','F1'),</v>
      </c>
    </row>
    <row r="365" spans="1:9">
      <c r="A365" s="2">
        <v>428</v>
      </c>
      <c r="B365" s="9" t="s">
        <v>657</v>
      </c>
      <c r="C365" s="9" t="s">
        <v>658</v>
      </c>
      <c r="D365" s="9" t="s">
        <v>1679</v>
      </c>
      <c r="E365" s="9" t="s">
        <v>596</v>
      </c>
      <c r="F365" s="9" t="s">
        <v>659</v>
      </c>
      <c r="G365" s="12">
        <v>44953237</v>
      </c>
      <c r="H365" s="9" t="s">
        <v>1722</v>
      </c>
      <c r="I365" t="str">
        <f t="shared" si="5"/>
        <v>('ROJAS QUISPE KARY DEL ROCIO','Calle Santa tereza 281-Sunampe','SUNAMPE','ZONA: SUNAMPE – CALLE LIMA','959 207 013','44953237','F1'),</v>
      </c>
    </row>
    <row r="366" spans="1:9">
      <c r="A366" s="2">
        <v>429</v>
      </c>
      <c r="B366" s="9" t="s">
        <v>1570</v>
      </c>
      <c r="C366" s="9" t="s">
        <v>1571</v>
      </c>
      <c r="D366" s="9" t="s">
        <v>1681</v>
      </c>
      <c r="E366" s="9" t="s">
        <v>1572</v>
      </c>
      <c r="F366" s="9">
        <v>993440006</v>
      </c>
      <c r="G366" s="12">
        <v>44960165</v>
      </c>
      <c r="H366" s="9" t="s">
        <v>1722</v>
      </c>
      <c r="I366" t="str">
        <f t="shared" si="5"/>
        <v>('HUASASQUICHE MAGALLANES MIGUEL','Psj Arias S/n - Grocio Prado','GROCIO PRADO','Zona: GrocioPrado','993440006','44960165','F1'),</v>
      </c>
    </row>
    <row r="367" spans="1:9">
      <c r="A367" s="2">
        <v>430</v>
      </c>
      <c r="B367" s="9" t="s">
        <v>1075</v>
      </c>
      <c r="C367" s="9" t="s">
        <v>1076</v>
      </c>
      <c r="D367" s="9" t="s">
        <v>1679</v>
      </c>
      <c r="E367" s="9" t="s">
        <v>22</v>
      </c>
      <c r="F367" s="9" t="s">
        <v>1077</v>
      </c>
      <c r="G367" s="12">
        <v>44972815</v>
      </c>
      <c r="H367" s="9" t="s">
        <v>1722</v>
      </c>
      <c r="I367" t="str">
        <f t="shared" si="5"/>
        <v>('NAPA CASTILLA OSCAR JAVIER','Calle san pedro de pilpa 256 -02 - Sunampe','SUNAMPE','ZONA: SUNAMPE – SAN PILPA','908 696 006','44972815','F1'),</v>
      </c>
    </row>
    <row r="368" spans="1:9">
      <c r="A368" s="2">
        <v>431</v>
      </c>
      <c r="B368" s="9" t="s">
        <v>620</v>
      </c>
      <c r="C368" s="9" t="s">
        <v>621</v>
      </c>
      <c r="D368" s="9" t="s">
        <v>1679</v>
      </c>
      <c r="E368" s="9" t="s">
        <v>22</v>
      </c>
      <c r="F368" s="9">
        <v>971202140</v>
      </c>
      <c r="G368" s="12">
        <v>45027045</v>
      </c>
      <c r="H368" s="9" t="s">
        <v>1722</v>
      </c>
      <c r="I368" t="str">
        <f t="shared" si="5"/>
        <v>('CORDOVA DE LA CRUZ ABIMAEL FERNANDO','AV. SAN RAFEEL SN - GROCIO PRADO','SUNAMPE','ZONA: SUNAMPE – SAN PILPA','971202140','45027045','F1'),</v>
      </c>
    </row>
    <row r="369" spans="1:9">
      <c r="A369" s="2">
        <v>432</v>
      </c>
      <c r="B369" s="9" t="s">
        <v>655</v>
      </c>
      <c r="C369" s="9" t="s">
        <v>656</v>
      </c>
      <c r="D369" s="9" t="s">
        <v>1679</v>
      </c>
      <c r="E369" s="9" t="s">
        <v>5</v>
      </c>
      <c r="F369" s="9" t="s">
        <v>1711</v>
      </c>
      <c r="G369" s="12">
        <v>45048639</v>
      </c>
      <c r="H369" s="9" t="s">
        <v>1722</v>
      </c>
      <c r="I369" t="str">
        <f t="shared" si="5"/>
        <v>('RODRIGUEZ PEÑA PEDRO CLAUDIO ALEJANDRO','AV. San ignacio 147 - Sunampe','SUNAMPE','ZONA: SUNAMPE – SANTA ROSA','934 573 535','45048639','F1'),</v>
      </c>
    </row>
    <row r="370" spans="1:9">
      <c r="A370" s="2">
        <v>433</v>
      </c>
      <c r="B370" s="9" t="s">
        <v>65</v>
      </c>
      <c r="C370" s="9" t="s">
        <v>66</v>
      </c>
      <c r="D370" s="9" t="s">
        <v>1680</v>
      </c>
      <c r="E370" s="9" t="s">
        <v>27</v>
      </c>
      <c r="F370" s="9">
        <v>960544540</v>
      </c>
      <c r="G370" s="12">
        <v>45082671</v>
      </c>
      <c r="H370" s="9" t="s">
        <v>1722</v>
      </c>
      <c r="I370" t="str">
        <f t="shared" si="5"/>
        <v>('MESIAS GONZALES DIANA FIORELLA','Calle los Próceres Lote 24-Cruz Blanca','CHINCHA ALTA','ZONA: CRUZ BLANCA PARTE BAJA','960544540','45082671','F1'),</v>
      </c>
    </row>
    <row r="371" spans="1:9">
      <c r="A371" s="2">
        <v>434</v>
      </c>
      <c r="B371" s="9" t="s">
        <v>979</v>
      </c>
      <c r="C371" s="9" t="s">
        <v>980</v>
      </c>
      <c r="D371" s="9" t="s">
        <v>1680</v>
      </c>
      <c r="E371" s="9" t="s">
        <v>765</v>
      </c>
      <c r="F371" s="9">
        <v>989846043</v>
      </c>
      <c r="G371" s="12">
        <v>45098503</v>
      </c>
      <c r="H371" s="9" t="s">
        <v>1722</v>
      </c>
      <c r="I371" t="str">
        <f t="shared" si="5"/>
        <v>('CONDEÑA ESPINOZA WALTER AQUILES','PSJ. AVALOS Nº 12 - PROGRESO - CHINCHA ALTA','CHINCHA ALTA','ZONA: CHINCHA - PROGRESO','989846043','45098503','F1'),</v>
      </c>
    </row>
    <row r="372" spans="1:9">
      <c r="A372" s="2">
        <v>435</v>
      </c>
      <c r="B372" s="9" t="s">
        <v>866</v>
      </c>
      <c r="C372" s="9" t="s">
        <v>867</v>
      </c>
      <c r="D372" s="9" t="s">
        <v>1682</v>
      </c>
      <c r="E372" s="9" t="s">
        <v>846</v>
      </c>
      <c r="F372" s="9" t="s">
        <v>868</v>
      </c>
      <c r="G372" s="12">
        <v>45106081</v>
      </c>
      <c r="H372" s="9" t="s">
        <v>1733</v>
      </c>
      <c r="I372" t="str">
        <f t="shared" si="5"/>
        <v>('BENDEZU INCACUTIPA RAUL ALDO','AA.HH. BEATA MELCHORITA MZ. H LT. 10 - PUEBLO NUEVO','PUEBLO NUEVO','ZONA: PUEBLO - SALVADOR','999 563 187','45106081','F2'),</v>
      </c>
    </row>
    <row r="373" spans="1:9">
      <c r="A373" s="2">
        <v>436</v>
      </c>
      <c r="B373" s="9" t="s">
        <v>1435</v>
      </c>
      <c r="C373" s="9" t="s">
        <v>1436</v>
      </c>
      <c r="D373" s="9" t="s">
        <v>1682</v>
      </c>
      <c r="E373" s="9" t="s">
        <v>1372</v>
      </c>
      <c r="F373" s="9">
        <v>955088823</v>
      </c>
      <c r="G373" s="12">
        <v>45114263</v>
      </c>
      <c r="H373" s="9" t="s">
        <v>1722</v>
      </c>
      <c r="I373" t="str">
        <f t="shared" si="5"/>
        <v>('ROSA QUISPE ROMERO','MZNA G NRO. PUERTA 13 AA.HH. CIUDAD SATELITE PUEBLO NUEVO','PUEBLO NUEVO','ZONA: PUEBLO - SATELITE','955088823','45114263','F1'),</v>
      </c>
    </row>
    <row r="374" spans="1:9">
      <c r="A374" s="2">
        <v>438</v>
      </c>
      <c r="B374" s="9" t="s">
        <v>34</v>
      </c>
      <c r="C374" s="9" t="s">
        <v>35</v>
      </c>
      <c r="D374" s="9" t="s">
        <v>1679</v>
      </c>
      <c r="E374" s="9" t="s">
        <v>36</v>
      </c>
      <c r="F374" s="9">
        <v>985192082</v>
      </c>
      <c r="G374" s="12">
        <v>45123518</v>
      </c>
      <c r="H374" s="9" t="s">
        <v>1733</v>
      </c>
      <c r="I374" t="str">
        <f t="shared" si="5"/>
        <v>('CHAVEZ MARTINEZ MARTHA MARIA','AV. PARAISO MZ C LT 27, LOMO LARGO - SUNAMPE','SUNAMPE','ZONA: SUNAMPE – PARAISO','985192082','45123518','F2'),</v>
      </c>
    </row>
    <row r="375" spans="1:9">
      <c r="A375" s="2">
        <v>439</v>
      </c>
      <c r="B375" s="9" t="s">
        <v>1255</v>
      </c>
      <c r="C375" s="9" t="s">
        <v>1256</v>
      </c>
      <c r="D375" s="9" t="s">
        <v>1682</v>
      </c>
      <c r="E375" s="9" t="s">
        <v>1257</v>
      </c>
      <c r="F375" s="9" t="s">
        <v>1258</v>
      </c>
      <c r="G375" s="12">
        <v>45149626</v>
      </c>
      <c r="H375" s="9" t="s">
        <v>1722</v>
      </c>
      <c r="I375" t="str">
        <f t="shared" si="5"/>
        <v>('CALDERON FLORES NATALI','AA.HH 28 DE JULIO MZ. F - LT. 08 - PUEBLO NUEVO','PUEBLO NUEVO','ZONA: PUEBLO - LAS AMERICAS','981 279 249','45149626','F1'),</v>
      </c>
    </row>
    <row r="376" spans="1:9">
      <c r="A376" s="2">
        <v>440</v>
      </c>
      <c r="B376" s="9" t="s">
        <v>889</v>
      </c>
      <c r="C376" s="9" t="s">
        <v>890</v>
      </c>
      <c r="D376" s="9" t="s">
        <v>1682</v>
      </c>
      <c r="E376" s="9" t="s">
        <v>846</v>
      </c>
      <c r="F376" s="9">
        <v>976317985</v>
      </c>
      <c r="G376" s="12">
        <v>45200940</v>
      </c>
      <c r="H376" s="9" t="s">
        <v>1722</v>
      </c>
      <c r="I376" t="str">
        <f t="shared" si="5"/>
        <v>('PAUCAR CASTILLON ANGEL GABINO','FUNDO COLORADO MZ. C LT.03 - GROCIO PRADO','PUEBLO NUEVO','ZONA: PUEBLO - SALVADOR','976317985','45200940','F1'),</v>
      </c>
    </row>
    <row r="377" spans="1:9">
      <c r="A377" s="2">
        <v>441</v>
      </c>
      <c r="B377" s="9" t="s">
        <v>214</v>
      </c>
      <c r="C377" s="9" t="s">
        <v>215</v>
      </c>
      <c r="D377" s="9" t="s">
        <v>1680</v>
      </c>
      <c r="E377" s="9" t="s">
        <v>27</v>
      </c>
      <c r="F377" s="9">
        <v>975342591</v>
      </c>
      <c r="G377" s="12">
        <v>45200955</v>
      </c>
      <c r="H377" s="9" t="s">
        <v>1722</v>
      </c>
      <c r="I377" t="str">
        <f t="shared" si="5"/>
        <v>('GARCIA BAUTISTA MIRIAM LIZET','CRUZ BLANCA PSJ SAN MARTIN 55','CHINCHA ALTA','ZONA: CRUZ BLANCA PARTE BAJA','975342591','45200955','F1'),</v>
      </c>
    </row>
    <row r="378" spans="1:9">
      <c r="A378" s="2">
        <v>442</v>
      </c>
      <c r="B378" s="9" t="s">
        <v>307</v>
      </c>
      <c r="C378" s="9" t="s">
        <v>308</v>
      </c>
      <c r="D378" s="9" t="s">
        <v>1680</v>
      </c>
      <c r="E378" s="9" t="s">
        <v>27</v>
      </c>
      <c r="F378" s="9">
        <v>981696000</v>
      </c>
      <c r="G378" s="12">
        <v>45204141</v>
      </c>
      <c r="H378" s="9" t="s">
        <v>1722</v>
      </c>
      <c r="I378" t="str">
        <f t="shared" si="5"/>
        <v>('QUISPE MALDONADO JHONY','Psj santa Rosa S/N- Cruz Blanca','CHINCHA ALTA','ZONA: CRUZ BLANCA PARTE BAJA','981696000','45204141','F1'),</v>
      </c>
    </row>
    <row r="379" spans="1:9">
      <c r="A379" s="2">
        <v>443</v>
      </c>
      <c r="B379" s="9" t="s">
        <v>1576</v>
      </c>
      <c r="C379" s="9" t="s">
        <v>1577</v>
      </c>
      <c r="D379" s="9" t="s">
        <v>1681</v>
      </c>
      <c r="E379" s="9" t="s">
        <v>1572</v>
      </c>
      <c r="F379" s="9">
        <v>923501124</v>
      </c>
      <c r="G379" s="12">
        <v>45220774</v>
      </c>
      <c r="H379" s="9" t="s">
        <v>1722</v>
      </c>
      <c r="I379" t="str">
        <f t="shared" si="5"/>
        <v>('VICENTE ARIAS ROSA DELIA','C. san juan Grocio Prado','GROCIO PRADO','Zona: GrocioPrado','923501124','45220774','F1'),</v>
      </c>
    </row>
    <row r="380" spans="1:9">
      <c r="A380" s="2">
        <v>445</v>
      </c>
      <c r="B380" s="9" t="s">
        <v>1143</v>
      </c>
      <c r="C380" s="9" t="s">
        <v>1144</v>
      </c>
      <c r="D380" s="9" t="s">
        <v>1682</v>
      </c>
      <c r="E380" s="9" t="s">
        <v>846</v>
      </c>
      <c r="F380" s="9">
        <v>994323996</v>
      </c>
      <c r="G380" s="12">
        <v>45252181</v>
      </c>
      <c r="H380" s="9" t="s">
        <v>1733</v>
      </c>
      <c r="I380" t="str">
        <f t="shared" si="5"/>
        <v>('DIAZ REBATTA EDDER RUBEN','AA.HH. EL SALVADOR MZ. J - LT. 02 - PUEBLO NUEVO','PUEBLO NUEVO','ZONA: PUEBLO - SALVADOR','994323996','45252181','F2'),</v>
      </c>
    </row>
    <row r="381" spans="1:9">
      <c r="A381" s="2">
        <v>446</v>
      </c>
      <c r="B381" s="9" t="s">
        <v>1134</v>
      </c>
      <c r="C381" s="9" t="s">
        <v>1135</v>
      </c>
      <c r="D381" s="9" t="s">
        <v>1682</v>
      </c>
      <c r="E381" s="9" t="s">
        <v>1106</v>
      </c>
      <c r="F381" s="9" t="s">
        <v>1136</v>
      </c>
      <c r="G381" s="12">
        <v>45255187</v>
      </c>
      <c r="H381" s="9" t="s">
        <v>1722</v>
      </c>
      <c r="I381" t="str">
        <f t="shared" si="5"/>
        <v>('CENTENO VALENCIA KARINA ABIGAI','URB. LOS VIÑEDOS MZ. F1 - LT. 03 - CHINCHA ALTA','PUEBLO NUEVO','ZONA: PUEBLO - TECHO PROPIO','982 904 223','45255187','F1'),</v>
      </c>
    </row>
    <row r="382" spans="1:9">
      <c r="A382" s="2">
        <v>448</v>
      </c>
      <c r="B382" s="9" t="s">
        <v>431</v>
      </c>
      <c r="C382" s="9" t="s">
        <v>432</v>
      </c>
      <c r="D382" s="9" t="s">
        <v>1680</v>
      </c>
      <c r="E382" s="9" t="s">
        <v>19</v>
      </c>
      <c r="F382" s="9" t="s">
        <v>433</v>
      </c>
      <c r="G382" s="12">
        <v>45361929</v>
      </c>
      <c r="H382" s="9" t="s">
        <v>1722</v>
      </c>
      <c r="I382" t="str">
        <f t="shared" si="5"/>
        <v>('CASTILLA MESIAS LETICIA LISSET','PSJ. TUPAC AMARU 166 - CRUZ BLANCA','CHINCHA ALTA','ZONA: CRUZ BLANCA PARTE ALTA oruro','994 479 206','45361929','F1'),</v>
      </c>
    </row>
    <row r="383" spans="1:9">
      <c r="A383" s="2">
        <v>451</v>
      </c>
      <c r="B383" s="9" t="s">
        <v>281</v>
      </c>
      <c r="C383" s="9" t="s">
        <v>282</v>
      </c>
      <c r="D383" s="9" t="s">
        <v>1680</v>
      </c>
      <c r="E383" s="9" t="s">
        <v>27</v>
      </c>
      <c r="F383" s="9">
        <v>958525363</v>
      </c>
      <c r="G383" s="12">
        <v>45472467</v>
      </c>
      <c r="H383" s="9" t="s">
        <v>1722</v>
      </c>
      <c r="I383" t="str">
        <f t="shared" si="5"/>
        <v>('HUAMAN GONZALES JOSE MANUEL','Psj. toma de martinez Lt. 1 Virgen del carmen','CHINCHA ALTA','ZONA: CRUZ BLANCA PARTE BAJA','958525363','45472467','F1'),</v>
      </c>
    </row>
    <row r="384" spans="1:9">
      <c r="A384" s="2">
        <v>454</v>
      </c>
      <c r="B384" s="9" t="s">
        <v>1221</v>
      </c>
      <c r="C384" s="9" t="s">
        <v>1222</v>
      </c>
      <c r="D384" s="9" t="s">
        <v>1679</v>
      </c>
      <c r="E384" s="9" t="s">
        <v>2</v>
      </c>
      <c r="F384" s="9" t="s">
        <v>1223</v>
      </c>
      <c r="G384" s="12">
        <v>45507136</v>
      </c>
      <c r="H384" s="9" t="s">
        <v>1722</v>
      </c>
      <c r="I384" t="str">
        <f t="shared" si="5"/>
        <v>('ROJAS LAPA GINO PERCY','RESIDENCIAL SAN PABLO, LT 27 - SUNAMPE (FRENT. GRIFO PRIMAX)','SUNAMPE','ZONA: SUNAMPE – SAN IGNACIO','981 210 264','45507136','F1'),</v>
      </c>
    </row>
    <row r="385" spans="1:9">
      <c r="A385" s="2">
        <v>455</v>
      </c>
      <c r="B385" s="9" t="s">
        <v>731</v>
      </c>
      <c r="C385" s="9" t="s">
        <v>732</v>
      </c>
      <c r="D385" s="9" t="s">
        <v>1679</v>
      </c>
      <c r="E385" s="9" t="s">
        <v>36</v>
      </c>
      <c r="F385" s="9">
        <v>958905246</v>
      </c>
      <c r="G385" s="12">
        <v>45537164</v>
      </c>
      <c r="H385" s="9" t="s">
        <v>1722</v>
      </c>
      <c r="I385" t="str">
        <f t="shared" si="5"/>
        <v>('MOLINA CENTURION MARIA EDITHA','CALLE LOS ANGELES 442, LOMO LARGO','SUNAMPE','ZONA: SUNAMPE – PARAISO','958905246','45537164','F1'),</v>
      </c>
    </row>
    <row r="386" spans="1:9">
      <c r="A386" s="2">
        <v>457</v>
      </c>
      <c r="B386" s="9" t="s">
        <v>796</v>
      </c>
      <c r="C386" s="9" t="s">
        <v>797</v>
      </c>
      <c r="D386" s="9" t="s">
        <v>1680</v>
      </c>
      <c r="E386" s="9" t="s">
        <v>99</v>
      </c>
      <c r="F386" s="9">
        <v>960468616</v>
      </c>
      <c r="G386" s="12">
        <v>45669104</v>
      </c>
      <c r="H386" s="9" t="s">
        <v>1722</v>
      </c>
      <c r="I386" t="str">
        <f t="shared" si="5"/>
        <v>('HERRERA MARTINEZ AUGUSTO ALFREDO','PSJ. UNION SANTA ROSA - CRUZ BLANCA','CHINCHA ALTA','ZONA: CRUZ BLANCA CAMPO','960468616','45669104','F1'),</v>
      </c>
    </row>
    <row r="387" spans="1:9">
      <c r="A387" s="2">
        <v>458</v>
      </c>
      <c r="B387" s="9" t="s">
        <v>1045</v>
      </c>
      <c r="C387" s="9" t="s">
        <v>1046</v>
      </c>
      <c r="D387" s="9" t="s">
        <v>1680</v>
      </c>
      <c r="E387" s="9" t="s">
        <v>334</v>
      </c>
      <c r="F387" s="9" t="s">
        <v>1047</v>
      </c>
      <c r="G387" s="12">
        <v>45682504</v>
      </c>
      <c r="H387" s="9" t="s">
        <v>1722</v>
      </c>
      <c r="I387" t="str">
        <f t="shared" ref="I387:I450" si="6">"('"&amp;B387&amp;"','"&amp;C387&amp;"','"&amp;D387&amp;"','"&amp;E387&amp;"','"&amp;F387&amp;"','"&amp;G387&amp;"','"&amp;H387&amp;"'),"</f>
        <v>('TASAYCO ARIAS GREGORIO JHONATHAN','C.P. CONDORILLO ALTO MZ. U LT. 01 - CHINCHA ALTA','CHINCHA ALTA','ZONA: CONDORILLO PARTE BAJA','947 700 239','45682504','F1'),</v>
      </c>
    </row>
    <row r="388" spans="1:9">
      <c r="A388" s="2">
        <v>459</v>
      </c>
      <c r="B388" s="9" t="s">
        <v>772</v>
      </c>
      <c r="C388" s="9" t="s">
        <v>773</v>
      </c>
      <c r="D388" s="9" t="s">
        <v>1679</v>
      </c>
      <c r="E388" s="9" t="s">
        <v>22</v>
      </c>
      <c r="F388" s="9">
        <v>922101351</v>
      </c>
      <c r="G388" s="12">
        <v>45712101</v>
      </c>
      <c r="H388" s="9" t="s">
        <v>1722</v>
      </c>
      <c r="I388" t="str">
        <f t="shared" si="6"/>
        <v>('MENDIGUETE ALMEYDA LUIS ALBERTO','PANAMERICANA SUR 1769, entrada de parada de los amigos','SUNAMPE','ZONA: SUNAMPE – SAN PILPA','922101351','45712101','F1'),</v>
      </c>
    </row>
    <row r="389" spans="1:9">
      <c r="A389" s="2">
        <v>460</v>
      </c>
      <c r="B389" s="9" t="s">
        <v>201</v>
      </c>
      <c r="C389" s="9" t="s">
        <v>202</v>
      </c>
      <c r="D389" s="9" t="s">
        <v>1679</v>
      </c>
      <c r="E389" s="9" t="s">
        <v>22</v>
      </c>
      <c r="F389" s="9" t="s">
        <v>203</v>
      </c>
      <c r="G389" s="12">
        <v>45715311</v>
      </c>
      <c r="H389" s="9" t="s">
        <v>1722</v>
      </c>
      <c r="I389" t="str">
        <f t="shared" si="6"/>
        <v>('CARBAJAL SANCHEZ DE MARTINEZ ROSA ERLINDA','Calle Parada de los amigos - Sunampe','SUNAMPE','ZONA: SUNAMPE – SAN PILPA','952 567 956','45715311','F1'),</v>
      </c>
    </row>
    <row r="390" spans="1:9">
      <c r="A390" s="2">
        <v>461</v>
      </c>
      <c r="B390" s="9" t="s">
        <v>912</v>
      </c>
      <c r="C390" s="9" t="s">
        <v>913</v>
      </c>
      <c r="D390" s="9" t="s">
        <v>1679</v>
      </c>
      <c r="E390" s="9" t="s">
        <v>135</v>
      </c>
      <c r="F390" s="9">
        <v>989357193</v>
      </c>
      <c r="G390" s="12">
        <v>45725093</v>
      </c>
      <c r="H390" s="9" t="s">
        <v>1722</v>
      </c>
      <c r="I390" t="str">
        <f t="shared" si="6"/>
        <v>('MONTOYA CARDENAS LUIS ENRIQUE','Av. Las Nazarenas S/N del Centro Poblado','SUNAMPE','ZONA: SUNAMPE – HUACA GRANDE','989357193','45725093','F1'),</v>
      </c>
    </row>
    <row r="391" spans="1:9">
      <c r="A391" s="2">
        <v>462</v>
      </c>
      <c r="B391" s="9" t="s">
        <v>1001</v>
      </c>
      <c r="C391" s="9" t="s">
        <v>1002</v>
      </c>
      <c r="D391" s="9" t="s">
        <v>1679</v>
      </c>
      <c r="E391" s="9" t="s">
        <v>2</v>
      </c>
      <c r="F391" s="9" t="s">
        <v>1003</v>
      </c>
      <c r="G391" s="12">
        <v>45747936</v>
      </c>
      <c r="H391" s="9" t="s">
        <v>1722</v>
      </c>
      <c r="I391" t="str">
        <f t="shared" si="6"/>
        <v>('HUAMAN SARAVIA JULIO MARTIN','CARRETERA SUNAMPE N° 128, C.P. HUACA GRANDE - SUNAMPE','SUNAMPE','ZONA: SUNAMPE – SAN IGNACIO','993 506 186','45747936','F1'),</v>
      </c>
    </row>
    <row r="392" spans="1:9">
      <c r="A392" s="2">
        <v>463</v>
      </c>
      <c r="B392" s="9" t="s">
        <v>801</v>
      </c>
      <c r="C392" s="9" t="s">
        <v>802</v>
      </c>
      <c r="D392" s="9" t="s">
        <v>1679</v>
      </c>
      <c r="E392" s="9" t="s">
        <v>106</v>
      </c>
      <c r="F392" s="9">
        <v>942635751</v>
      </c>
      <c r="G392" s="12">
        <v>45751439</v>
      </c>
      <c r="H392" s="9" t="s">
        <v>1722</v>
      </c>
      <c r="I392" t="str">
        <f t="shared" si="6"/>
        <v>('ALFONSO HUAMAN YOEL ALFREDO','PSJ. JORGE CHAVEZ S/N - SUNAMPE','SUNAMPE','ZONA: SUNAMPE - MINA DE ORO','942635751','45751439','F1'),</v>
      </c>
    </row>
    <row r="393" spans="1:9">
      <c r="A393" s="2">
        <v>464</v>
      </c>
      <c r="B393" s="9" t="s">
        <v>1078</v>
      </c>
      <c r="C393" s="9" t="s">
        <v>1079</v>
      </c>
      <c r="D393" s="9" t="s">
        <v>1680</v>
      </c>
      <c r="E393" s="9" t="s">
        <v>27</v>
      </c>
      <c r="F393" s="9" t="s">
        <v>1080</v>
      </c>
      <c r="G393" s="12">
        <v>45778769</v>
      </c>
      <c r="H393" s="9" t="s">
        <v>1733</v>
      </c>
      <c r="I393" t="str">
        <f t="shared" si="6"/>
        <v>('BRICEÑO DEL RIO FREDY JHON','C.P. CONDORILLO ALTO MZ. P LT. 15 - CHINCHA ALTA','CHINCHA ALTA','ZONA: CRUZ BLANCA PARTE BAJA','934 845 612','45778769','F2'),</v>
      </c>
    </row>
    <row r="394" spans="1:9">
      <c r="A394" s="2">
        <v>466</v>
      </c>
      <c r="B394" s="9" t="s">
        <v>599</v>
      </c>
      <c r="C394" s="9" t="s">
        <v>600</v>
      </c>
      <c r="D394" s="9" t="s">
        <v>1679</v>
      </c>
      <c r="E394" s="9" t="s">
        <v>8</v>
      </c>
      <c r="F394" s="9">
        <v>916435601</v>
      </c>
      <c r="G394" s="12">
        <v>45828199</v>
      </c>
      <c r="H394" s="9" t="s">
        <v>1722</v>
      </c>
      <c r="I394" t="str">
        <f t="shared" si="6"/>
        <v>('DE LA CRUZ LEVANO FIORELLA DAMARI','espalda del habana club - Sunampe','SUNAMPE','ZONA: SUNAMPE – COLEGIO','916435601','45828199','F1'),</v>
      </c>
    </row>
    <row r="395" spans="1:9">
      <c r="A395" s="2">
        <v>468</v>
      </c>
      <c r="B395" s="9" t="s">
        <v>1662</v>
      </c>
      <c r="C395" s="9" t="s">
        <v>1663</v>
      </c>
      <c r="D395" s="9" t="s">
        <v>1683</v>
      </c>
      <c r="E395" s="9" t="s">
        <v>1622</v>
      </c>
      <c r="F395" s="9">
        <v>907855329</v>
      </c>
      <c r="G395" s="12">
        <v>45841421</v>
      </c>
      <c r="H395" s="9" t="s">
        <v>1722</v>
      </c>
      <c r="I395" t="str">
        <f t="shared" si="6"/>
        <v>('MATOS MENESES EVELYN YURISAN','CALLE MUELLE Nº217 - TAMBO DE MORA','TAMBO DE MORA','Zona: Tambo de Mora 2','907855329','45841421','F1'),</v>
      </c>
    </row>
    <row r="396" spans="1:9">
      <c r="A396" s="2">
        <v>469</v>
      </c>
      <c r="B396" s="9" t="s">
        <v>199</v>
      </c>
      <c r="C396" s="9" t="s">
        <v>200</v>
      </c>
      <c r="D396" s="9" t="s">
        <v>1679</v>
      </c>
      <c r="E396" s="9" t="s">
        <v>22</v>
      </c>
      <c r="F396" s="9">
        <v>972841510</v>
      </c>
      <c r="G396" s="12">
        <v>45851431</v>
      </c>
      <c r="H396" s="9" t="s">
        <v>1722</v>
      </c>
      <c r="I396" t="str">
        <f t="shared" si="6"/>
        <v>('GALINDO SALAS LIZET','Calle Parada de los amigos - Psj Villa - Sunampe','SUNAMPE','ZONA: SUNAMPE – SAN PILPA','972841510','45851431','F1'),</v>
      </c>
    </row>
    <row r="397" spans="1:9">
      <c r="A397" s="2">
        <v>470</v>
      </c>
      <c r="B397" s="9" t="s">
        <v>745</v>
      </c>
      <c r="C397" s="9" t="s">
        <v>746</v>
      </c>
      <c r="D397" s="9" t="s">
        <v>1679</v>
      </c>
      <c r="E397" s="9" t="s">
        <v>596</v>
      </c>
      <c r="F397" s="9" t="s">
        <v>747</v>
      </c>
      <c r="G397" s="12">
        <v>45852739</v>
      </c>
      <c r="H397" s="9" t="s">
        <v>1722</v>
      </c>
      <c r="I397" t="str">
        <f t="shared" si="6"/>
        <v>('DE LA CRUZ JACOBO JULIO CESAR','AV. PRIMAVERA N° 300 - SUNAMPE','SUNAMPE','ZONA: SUNAMPE – CALLE LIMA','902 575 234','45852739','F1'),</v>
      </c>
    </row>
    <row r="398" spans="1:9">
      <c r="A398" s="2">
        <v>471</v>
      </c>
      <c r="B398" s="9" t="s">
        <v>452</v>
      </c>
      <c r="C398" s="9" t="s">
        <v>453</v>
      </c>
      <c r="D398" s="9" t="s">
        <v>1680</v>
      </c>
      <c r="E398" s="9" t="s">
        <v>334</v>
      </c>
      <c r="F398" s="9" t="s">
        <v>454</v>
      </c>
      <c r="G398" s="12">
        <v>45879381</v>
      </c>
      <c r="H398" s="9" t="s">
        <v>1722</v>
      </c>
      <c r="I398" t="str">
        <f t="shared" si="6"/>
        <v>('LLIUYA CHUQUISPUMA MARIA ESTHER','Condorillo alto Mz. J lt. 11','CHINCHA ALTA','ZONA: CONDORILLO PARTE BAJA','986 103 238','45879381','F1'),</v>
      </c>
    </row>
    <row r="399" spans="1:9">
      <c r="A399" s="2">
        <v>472</v>
      </c>
      <c r="B399" s="9" t="s">
        <v>835</v>
      </c>
      <c r="C399" s="9" t="s">
        <v>836</v>
      </c>
      <c r="D399" s="9" t="s">
        <v>1679</v>
      </c>
      <c r="E399" s="9" t="s">
        <v>230</v>
      </c>
      <c r="F399" s="9">
        <v>956646869</v>
      </c>
      <c r="G399" s="12">
        <v>45900579</v>
      </c>
      <c r="H399" s="9" t="s">
        <v>1722</v>
      </c>
      <c r="I399" t="str">
        <f t="shared" si="6"/>
        <v>('ROJAS TORNERO ENERT JOEL','AV. ALFONSO UGARTE Nº 140 - CERCADO DE SUNAMPE','SUNAMPE','ZONA: SUNAMPE – SIMON','956646869','45900579','F1'),</v>
      </c>
    </row>
    <row r="400" spans="1:9">
      <c r="A400" s="2">
        <v>475</v>
      </c>
      <c r="B400" s="9" t="s">
        <v>257</v>
      </c>
      <c r="C400" s="9" t="s">
        <v>258</v>
      </c>
      <c r="D400" s="9" t="s">
        <v>1679</v>
      </c>
      <c r="E400" s="9" t="s">
        <v>8</v>
      </c>
      <c r="F400" s="9">
        <v>963964118</v>
      </c>
      <c r="G400" s="12">
        <v>46096445</v>
      </c>
      <c r="H400" s="9" t="s">
        <v>1722</v>
      </c>
      <c r="I400" t="str">
        <f t="shared" si="6"/>
        <v>('CRISOSTOMO CAMPOS RAUL','Av. emancipacion SUNAMPE S/N','SUNAMPE','ZONA: SUNAMPE – COLEGIO','963964118','46096445','F1'),</v>
      </c>
    </row>
    <row r="401" spans="1:9">
      <c r="A401" s="2">
        <v>476</v>
      </c>
      <c r="B401" s="9" t="s">
        <v>653</v>
      </c>
      <c r="C401" s="9" t="s">
        <v>654</v>
      </c>
      <c r="D401" s="9" t="s">
        <v>1681</v>
      </c>
      <c r="E401" s="9" t="s">
        <v>317</v>
      </c>
      <c r="F401" s="9">
        <v>998980535</v>
      </c>
      <c r="G401" s="12">
        <v>46113663</v>
      </c>
      <c r="H401" s="9" t="s">
        <v>1722</v>
      </c>
      <c r="I401" t="str">
        <f t="shared" si="6"/>
        <v>('AVALOS MUÑOZ CYNTHIA MARIBEL','Av.melchorita 506 - grocio prado','GROCIO PRADO','ZONA: GROCIO - EL PORVENIR','998980535','46113663','F1'),</v>
      </c>
    </row>
    <row r="402" spans="1:9">
      <c r="A402" s="2">
        <v>477</v>
      </c>
      <c r="B402" s="9" t="s">
        <v>788</v>
      </c>
      <c r="C402" s="9" t="s">
        <v>789</v>
      </c>
      <c r="D402" s="9" t="s">
        <v>1679</v>
      </c>
      <c r="E402" s="9" t="s">
        <v>106</v>
      </c>
      <c r="F402" s="9">
        <v>906144833</v>
      </c>
      <c r="G402" s="12">
        <v>46145068</v>
      </c>
      <c r="H402" s="9" t="s">
        <v>1722</v>
      </c>
      <c r="I402" t="str">
        <f t="shared" si="6"/>
        <v>('YATACO VELASQUEZ ANGEL DOMINGO','AV. SANTO TOMAS N109 - CHINCHA ALTA','SUNAMPE','ZONA: SUNAMPE - MINA DE ORO','906144833','46145068','F1'),</v>
      </c>
    </row>
    <row r="403" spans="1:9">
      <c r="A403" s="2">
        <v>479</v>
      </c>
      <c r="B403" s="9" t="s">
        <v>57</v>
      </c>
      <c r="C403" s="9" t="s">
        <v>58</v>
      </c>
      <c r="D403" s="9" t="s">
        <v>1679</v>
      </c>
      <c r="E403" s="9" t="s">
        <v>36</v>
      </c>
      <c r="F403" s="9">
        <v>902642312</v>
      </c>
      <c r="G403" s="12">
        <v>46175442</v>
      </c>
      <c r="H403" s="9" t="s">
        <v>1722</v>
      </c>
      <c r="I403" t="str">
        <f t="shared" si="6"/>
        <v>('MAGALLANES CRISOSTOMO KATHERIN CINTHIA','PSJ DE LA CRUZ MATIAS - LOMO LARGO - SUNAMPE','SUNAMPE','ZONA: SUNAMPE – PARAISO','902642312','46175442','F1'),</v>
      </c>
    </row>
    <row r="404" spans="1:9">
      <c r="A404" s="2">
        <v>481</v>
      </c>
      <c r="B404" s="9" t="s">
        <v>805</v>
      </c>
      <c r="C404" s="9" t="s">
        <v>806</v>
      </c>
      <c r="D404" s="9" t="s">
        <v>1679</v>
      </c>
      <c r="E404" s="9" t="s">
        <v>718</v>
      </c>
      <c r="F404" s="9">
        <v>974458138</v>
      </c>
      <c r="G404" s="12">
        <v>46237598</v>
      </c>
      <c r="H404" s="9" t="s">
        <v>1722</v>
      </c>
      <c r="I404" t="str">
        <f t="shared" si="6"/>
        <v>('MAMANI GUTIERREZ MARIA ALEJANDRA','CALLE JORGE CHAVEZ MZ. C LT. 24, CHACARITA - SUNAMPE','SUNAMPE','ZONA: SUNAMPE – CHACARITA','974458138','46237598','F1'),</v>
      </c>
    </row>
    <row r="405" spans="1:9">
      <c r="A405" s="2">
        <v>482</v>
      </c>
      <c r="B405" s="9" t="s">
        <v>50</v>
      </c>
      <c r="C405" s="9" t="s">
        <v>51</v>
      </c>
      <c r="D405" s="9" t="s">
        <v>1680</v>
      </c>
      <c r="E405" s="9" t="s">
        <v>19</v>
      </c>
      <c r="F405" s="9">
        <v>956022078</v>
      </c>
      <c r="G405" s="12">
        <v>46250661</v>
      </c>
      <c r="H405" s="9" t="s">
        <v>1733</v>
      </c>
      <c r="I405" t="str">
        <f t="shared" si="6"/>
        <v>('PACHAS DIAZ DAVID ERNESTO','Psj. 2 de mayo - Cruz blanca','CHINCHA ALTA','ZONA: CRUZ BLANCA PARTE ALTA oruro','956022078','46250661','F2'),</v>
      </c>
    </row>
    <row r="406" spans="1:9">
      <c r="A406" s="2">
        <v>483</v>
      </c>
      <c r="B406" s="9" t="s">
        <v>72</v>
      </c>
      <c r="C406" s="9" t="s">
        <v>73</v>
      </c>
      <c r="D406" s="9" t="s">
        <v>1679</v>
      </c>
      <c r="E406" s="9" t="s">
        <v>2</v>
      </c>
      <c r="F406" s="9">
        <v>938358973</v>
      </c>
      <c r="G406" s="12">
        <v>46294714</v>
      </c>
      <c r="H406" s="9" t="s">
        <v>1722</v>
      </c>
      <c r="I406" t="str">
        <f t="shared" si="6"/>
        <v>('TORRES ROMAN KATHERINE MILAGROS','Av. Huascar 130 San IGNACIO','SUNAMPE','ZONA: SUNAMPE – SAN IGNACIO','938358973','46294714','F1'),</v>
      </c>
    </row>
    <row r="407" spans="1:9">
      <c r="A407" s="2">
        <v>484</v>
      </c>
      <c r="B407" s="9" t="s">
        <v>594</v>
      </c>
      <c r="C407" s="9" t="s">
        <v>595</v>
      </c>
      <c r="D407" s="9" t="s">
        <v>1679</v>
      </c>
      <c r="E407" s="9" t="s">
        <v>596</v>
      </c>
      <c r="F407" s="9">
        <v>908537121</v>
      </c>
      <c r="G407" s="12">
        <v>46363463</v>
      </c>
      <c r="H407" s="9" t="s">
        <v>1722</v>
      </c>
      <c r="I407" t="str">
        <f t="shared" si="6"/>
        <v>('MATIAS ALMEYDA MIGUEL ANGEL','Calle las lomas  - La Victoria Sunampe','SUNAMPE','ZONA: SUNAMPE – CALLE LIMA','908537121','46363463','F1'),</v>
      </c>
    </row>
    <row r="408" spans="1:9">
      <c r="A408" s="2">
        <v>486</v>
      </c>
      <c r="B408" s="9" t="s">
        <v>1687</v>
      </c>
      <c r="C408" s="9" t="s">
        <v>1702</v>
      </c>
      <c r="D408" s="9" t="s">
        <v>1680</v>
      </c>
      <c r="E408" s="9" t="s">
        <v>334</v>
      </c>
      <c r="F408" s="9" t="s">
        <v>1709</v>
      </c>
      <c r="G408" s="12">
        <v>46411847</v>
      </c>
      <c r="H408" s="9" t="s">
        <v>1722</v>
      </c>
      <c r="I408" t="str">
        <f t="shared" si="6"/>
        <v>('MANRIQUE GUERRA JOSE JOEL','C.P. CONDORILLO ALTO MZ J LT 02 - CHICHA','CHINCHA ALTA','ZONA: CONDORILLO PARTE BAJA','902 288 927','46411847','F1'),</v>
      </c>
    </row>
    <row r="409" spans="1:9">
      <c r="A409" s="2">
        <v>487</v>
      </c>
      <c r="B409" s="9" t="s">
        <v>626</v>
      </c>
      <c r="C409" s="9" t="s">
        <v>627</v>
      </c>
      <c r="D409" s="9" t="s">
        <v>1679</v>
      </c>
      <c r="E409" s="9" t="s">
        <v>596</v>
      </c>
      <c r="F409" s="9">
        <v>974897863</v>
      </c>
      <c r="G409" s="12">
        <v>46416248</v>
      </c>
      <c r="H409" s="9" t="s">
        <v>1722</v>
      </c>
      <c r="I409" t="str">
        <f t="shared" si="6"/>
        <v>('RUIZ CLAVIJO PAOLA','URB. SAN ANTONIO Nº 127 - CERCADO SUNAMPE','SUNAMPE','ZONA: SUNAMPE – CALLE LIMA','974897863','46416248','F1'),</v>
      </c>
    </row>
    <row r="410" spans="1:9">
      <c r="A410" s="2">
        <v>488</v>
      </c>
      <c r="B410" s="9" t="s">
        <v>974</v>
      </c>
      <c r="C410" s="9" t="s">
        <v>975</v>
      </c>
      <c r="D410" s="9" t="s">
        <v>1680</v>
      </c>
      <c r="E410" s="9" t="s">
        <v>710</v>
      </c>
      <c r="F410" s="9">
        <v>992863041</v>
      </c>
      <c r="G410" s="12">
        <v>46496820</v>
      </c>
      <c r="H410" s="9" t="s">
        <v>1722</v>
      </c>
      <c r="I410" t="str">
        <f t="shared" si="6"/>
        <v>('DE LA CRUZ TASAYCO GILBERTO','PSJ. JOSE OLAYA N° 899 46 - CERCADO DE CHINCHA ALTA','CHINCHA ALTA','ZONA: CHINCHA - AMERICA','992863041','46496820','F1'),</v>
      </c>
    </row>
    <row r="411" spans="1:9">
      <c r="A411" s="2">
        <v>489</v>
      </c>
      <c r="B411" s="9" t="s">
        <v>871</v>
      </c>
      <c r="C411" s="9" t="s">
        <v>872</v>
      </c>
      <c r="D411" s="9" t="s">
        <v>1681</v>
      </c>
      <c r="E411" s="9" t="s">
        <v>11</v>
      </c>
      <c r="F411" s="9">
        <v>922424182</v>
      </c>
      <c r="G411" s="12">
        <v>46614328</v>
      </c>
      <c r="H411" s="9" t="s">
        <v>1722</v>
      </c>
      <c r="I411" t="str">
        <f t="shared" si="6"/>
        <v>('SARAVIA YATACO MARIA ELISETH','CL. NUEVA ESPERANZA LT. 29, BARRIO MELCHORITA II - GROCIO PRADO','GROCIO PRADO','ZONA: GROCIO - MEJILLONEROS','922424182','46614328','F1'),</v>
      </c>
    </row>
    <row r="412" spans="1:9">
      <c r="A412" s="2">
        <v>490</v>
      </c>
      <c r="B412" s="9" t="s">
        <v>496</v>
      </c>
      <c r="C412" s="9" t="s">
        <v>497</v>
      </c>
      <c r="D412" s="9" t="s">
        <v>1679</v>
      </c>
      <c r="E412" s="9" t="s">
        <v>36</v>
      </c>
      <c r="F412" s="9">
        <v>981557714</v>
      </c>
      <c r="G412" s="12">
        <v>46657184</v>
      </c>
      <c r="H412" s="9" t="s">
        <v>1722</v>
      </c>
      <c r="I412" t="str">
        <f t="shared" si="6"/>
        <v>('ALMEYDA MAGALLANES ALEJANDRO','PSJE 17 Nro. Puerta 131 Sin Barrio C.P. Lomo Largo , SUNAMPE','SUNAMPE','ZONA: SUNAMPE – PARAISO','981557714','46657184','F1'),</v>
      </c>
    </row>
    <row r="413" spans="1:9">
      <c r="A413" s="2">
        <v>491</v>
      </c>
      <c r="B413" s="9" t="s">
        <v>634</v>
      </c>
      <c r="C413" s="9" t="s">
        <v>635</v>
      </c>
      <c r="D413" s="9" t="s">
        <v>1679</v>
      </c>
      <c r="E413" s="9" t="s">
        <v>36</v>
      </c>
      <c r="F413" s="9" t="s">
        <v>1710</v>
      </c>
      <c r="G413" s="12">
        <v>46690623</v>
      </c>
      <c r="H413" s="9" t="s">
        <v>1722</v>
      </c>
      <c r="I413" t="str">
        <f t="shared" si="6"/>
        <v>('SANCHEZ ALMEYDA WILLIAM ARMANDO','Av. Paraiso - Lomo largo - Sunampe','SUNAMPE','ZONA: SUNAMPE – PARAISO','930 999 115','46690623','F1'),</v>
      </c>
    </row>
    <row r="414" spans="1:9">
      <c r="A414" s="2">
        <v>492</v>
      </c>
      <c r="B414" s="9" t="s">
        <v>738</v>
      </c>
      <c r="C414" s="9" t="s">
        <v>739</v>
      </c>
      <c r="D414" s="9" t="s">
        <v>1679</v>
      </c>
      <c r="E414" s="9" t="s">
        <v>22</v>
      </c>
      <c r="F414" s="9">
        <v>977693143</v>
      </c>
      <c r="G414" s="12">
        <v>46698006</v>
      </c>
      <c r="H414" s="9" t="s">
        <v>1722</v>
      </c>
      <c r="I414" t="str">
        <f t="shared" si="6"/>
        <v>('ROMERO ROJAS JOHANNY CAROLINA','Calle San Blas 440 - San Pedro de Pilpa','SUNAMPE','ZONA: SUNAMPE – SAN PILPA','977693143','46698006','F1'),</v>
      </c>
    </row>
    <row r="415" spans="1:9">
      <c r="A415" s="2">
        <v>493</v>
      </c>
      <c r="B415" s="9" t="s">
        <v>981</v>
      </c>
      <c r="C415" s="9" t="s">
        <v>982</v>
      </c>
      <c r="D415" s="9" t="s">
        <v>1679</v>
      </c>
      <c r="E415" s="9" t="s">
        <v>22</v>
      </c>
      <c r="F415" s="9">
        <v>958172010</v>
      </c>
      <c r="G415" s="12">
        <v>46699310</v>
      </c>
      <c r="H415" s="9" t="s">
        <v>1722</v>
      </c>
      <c r="I415" t="str">
        <f t="shared" si="6"/>
        <v>('MENDOZA YATACO CYNTHIA NATALY','Pasaje Santo Domingo 102 -Santo Toribio- Sunampe','SUNAMPE','ZONA: SUNAMPE – SAN PILPA','958172010','46699310','F1'),</v>
      </c>
    </row>
    <row r="416" spans="1:9">
      <c r="A416" s="2">
        <v>494</v>
      </c>
      <c r="B416" s="9" t="s">
        <v>182</v>
      </c>
      <c r="C416" s="9" t="s">
        <v>183</v>
      </c>
      <c r="D416" s="9" t="s">
        <v>1679</v>
      </c>
      <c r="E416" s="9" t="s">
        <v>2</v>
      </c>
      <c r="F416" s="9">
        <v>944323513</v>
      </c>
      <c r="G416" s="12">
        <v>46865852</v>
      </c>
      <c r="H416" s="9" t="s">
        <v>1722</v>
      </c>
      <c r="I416" t="str">
        <f t="shared" si="6"/>
        <v>('TORRES SANCHEZ HUGO ALBERTO','CALLE SANTA ROSA #355  PRIMERA ENTRADA - SUNAMPE','SUNAMPE','ZONA: SUNAMPE – SAN IGNACIO','944323513','46865852','F1'),</v>
      </c>
    </row>
    <row r="417" spans="1:9">
      <c r="A417" s="2">
        <v>495</v>
      </c>
      <c r="B417" s="9" t="s">
        <v>206</v>
      </c>
      <c r="C417" s="9" t="s">
        <v>207</v>
      </c>
      <c r="D417" s="9" t="s">
        <v>1680</v>
      </c>
      <c r="E417" s="9" t="s">
        <v>19</v>
      </c>
      <c r="F417" s="9">
        <v>924144569</v>
      </c>
      <c r="G417" s="12">
        <v>46869547</v>
      </c>
      <c r="H417" s="9" t="s">
        <v>1722</v>
      </c>
      <c r="I417" t="str">
        <f t="shared" si="6"/>
        <v>('DE LA CRUZ ABREGU GIAN CARLOS','AV ALVA MAUTUA PUERTA 627-B - CRUZ BLANCA','CHINCHA ALTA','ZONA: CRUZ BLANCA PARTE ALTA oruro','924144569','46869547','F1'),</v>
      </c>
    </row>
    <row r="418" spans="1:9">
      <c r="A418" s="2">
        <v>496</v>
      </c>
      <c r="B418" s="9" t="s">
        <v>122</v>
      </c>
      <c r="C418" s="9" t="s">
        <v>123</v>
      </c>
      <c r="D418" s="9" t="s">
        <v>1680</v>
      </c>
      <c r="E418" s="9" t="s">
        <v>27</v>
      </c>
      <c r="F418" s="9">
        <v>916486489</v>
      </c>
      <c r="G418" s="12">
        <v>46927424</v>
      </c>
      <c r="H418" s="9" t="s">
        <v>1722</v>
      </c>
      <c r="I418" t="str">
        <f t="shared" si="6"/>
        <v>('CARBAJAL CASIANO NATHALY ROSSIEL','Psj. 2 de Mayo 285- Cruz Blanca','CHINCHA ALTA','ZONA: CRUZ BLANCA PARTE BAJA','916486489','46927424','F1'),</v>
      </c>
    </row>
    <row r="419" spans="1:9">
      <c r="A419" s="2">
        <v>497</v>
      </c>
      <c r="B419" s="9" t="s">
        <v>46</v>
      </c>
      <c r="C419" s="9" t="s">
        <v>47</v>
      </c>
      <c r="D419" s="9" t="s">
        <v>1680</v>
      </c>
      <c r="E419" s="9" t="s">
        <v>19</v>
      </c>
      <c r="F419" s="9">
        <v>972287862</v>
      </c>
      <c r="G419" s="12">
        <v>46928659</v>
      </c>
      <c r="H419" s="9" t="s">
        <v>1722</v>
      </c>
      <c r="I419" t="str">
        <f t="shared" si="6"/>
        <v>('TORRES TASAYCO CARLOS EDUARDO','PSJE SANTA ROSA Nro. Puerta 128 Cruz Blanca CHINCHA ALTA','CHINCHA ALTA','ZONA: CRUZ BLANCA PARTE ALTA oruro','972287862','46928659','F1'),</v>
      </c>
    </row>
    <row r="420" spans="1:9">
      <c r="A420" s="2">
        <v>498</v>
      </c>
      <c r="B420" s="9" t="s">
        <v>691</v>
      </c>
      <c r="C420" s="9" t="s">
        <v>692</v>
      </c>
      <c r="D420" s="9" t="s">
        <v>1679</v>
      </c>
      <c r="E420" s="9" t="s">
        <v>2</v>
      </c>
      <c r="F420" s="9">
        <v>937602720</v>
      </c>
      <c r="G420" s="12">
        <v>46932240</v>
      </c>
      <c r="H420" s="9" t="s">
        <v>1722</v>
      </c>
      <c r="I420" t="str">
        <f t="shared" si="6"/>
        <v>('YATACO NAVARRETE MARIA JULIA','AV. HUASCAR - SAN IGNACIO','SUNAMPE','ZONA: SUNAMPE – SAN IGNACIO','937602720','46932240','F1'),</v>
      </c>
    </row>
    <row r="421" spans="1:9">
      <c r="A421" s="2">
        <v>500</v>
      </c>
      <c r="B421" s="9" t="s">
        <v>212</v>
      </c>
      <c r="C421" s="9" t="s">
        <v>213</v>
      </c>
      <c r="D421" s="9" t="s">
        <v>1679</v>
      </c>
      <c r="E421" s="9" t="s">
        <v>14</v>
      </c>
      <c r="F421" s="9">
        <v>921574409</v>
      </c>
      <c r="G421" s="12">
        <v>46952075</v>
      </c>
      <c r="H421" s="9" t="s">
        <v>1722</v>
      </c>
      <c r="I421" t="str">
        <f t="shared" si="6"/>
        <v>('SOTO NAPA OSWALDO GUSTAVO','Av. San Cristobal 155- San Ignacio-Sunampe','SUNAMPE','ZONA: SUNAMPE – VILLA JULIA','921574409','46952075','F1'),</v>
      </c>
    </row>
    <row r="422" spans="1:9">
      <c r="A422" s="2">
        <v>501</v>
      </c>
      <c r="B422" s="9" t="s">
        <v>763</v>
      </c>
      <c r="C422" s="9" t="s">
        <v>764</v>
      </c>
      <c r="D422" s="9" t="s">
        <v>1680</v>
      </c>
      <c r="E422" s="9" t="s">
        <v>765</v>
      </c>
      <c r="F422" s="9" t="s">
        <v>766</v>
      </c>
      <c r="G422" s="12">
        <v>46956509</v>
      </c>
      <c r="H422" s="9" t="s">
        <v>1722</v>
      </c>
      <c r="I422" t="str">
        <f t="shared" si="6"/>
        <v>('CHAVEZ NEYRA VICTOR EUSEBIO','AV. PROGRESO N398 - INT 10 - CONDORILLO','CHINCHA ALTA','ZONA: CHINCHA - PROGRESO','969 187 145','46956509','F1'),</v>
      </c>
    </row>
    <row r="423" spans="1:9">
      <c r="A423" s="2">
        <v>502</v>
      </c>
      <c r="B423" s="9" t="s">
        <v>224</v>
      </c>
      <c r="C423" s="9" t="s">
        <v>225</v>
      </c>
      <c r="D423" s="9" t="s">
        <v>1680</v>
      </c>
      <c r="E423" s="9" t="s">
        <v>27</v>
      </c>
      <c r="F423" s="9">
        <v>955737034</v>
      </c>
      <c r="G423" s="12">
        <v>46981135</v>
      </c>
      <c r="H423" s="9" t="s">
        <v>1722</v>
      </c>
      <c r="I423" t="str">
        <f t="shared" si="6"/>
        <v>('DE LA CRUZ MESIAS ALEX GABRIEL','Av Alva Maurtua 144 Cruz blanca','CHINCHA ALTA','ZONA: CRUZ BLANCA PARTE BAJA','955737034','46981135','F1'),</v>
      </c>
    </row>
    <row r="424" spans="1:9">
      <c r="A424" s="2">
        <v>503</v>
      </c>
      <c r="B424" s="9" t="s">
        <v>1393</v>
      </c>
      <c r="C424" s="9" t="s">
        <v>1394</v>
      </c>
      <c r="D424" s="9" t="s">
        <v>1680</v>
      </c>
      <c r="E424" s="9" t="s">
        <v>90</v>
      </c>
      <c r="F424" s="9">
        <v>947403872</v>
      </c>
      <c r="G424" s="12">
        <v>46981139</v>
      </c>
      <c r="H424" s="9" t="s">
        <v>1722</v>
      </c>
      <c r="I424" t="str">
        <f t="shared" si="6"/>
        <v>('GERSON GONZALES HERRERA','PSJ GONZALES PRADA NRO. 208 - CRUZ BLANCA - CHINCHA ALTA','CHINCHA ALTA','ZONA: CONDORILLO PARTE ALTA','947403872','46981139','F1'),</v>
      </c>
    </row>
    <row r="425" spans="1:9">
      <c r="A425" s="2">
        <v>504</v>
      </c>
      <c r="B425" s="9" t="s">
        <v>1299</v>
      </c>
      <c r="C425" s="9" t="s">
        <v>1300</v>
      </c>
      <c r="D425" s="9" t="s">
        <v>1679</v>
      </c>
      <c r="E425" s="9" t="s">
        <v>718</v>
      </c>
      <c r="F425" s="9">
        <v>912863678</v>
      </c>
      <c r="G425" s="12">
        <v>46996225</v>
      </c>
      <c r="H425" s="9" t="s">
        <v>1722</v>
      </c>
      <c r="I425" t="str">
        <f t="shared" si="6"/>
        <v>('LEON AVALOS JOSE LUIS','Entrada de borques .s/n chacarita','SUNAMPE','ZONA: SUNAMPE – CHACARITA','912863678','46996225','F1'),</v>
      </c>
    </row>
    <row r="426" spans="1:9">
      <c r="A426" s="2">
        <v>505</v>
      </c>
      <c r="B426" s="9" t="s">
        <v>1595</v>
      </c>
      <c r="C426" s="9" t="s">
        <v>1596</v>
      </c>
      <c r="D426" s="9" t="s">
        <v>1680</v>
      </c>
      <c r="E426" s="9" t="s">
        <v>1594</v>
      </c>
      <c r="F426" s="9">
        <v>913079273</v>
      </c>
      <c r="G426" s="12">
        <v>47071800</v>
      </c>
      <c r="H426" s="9" t="s">
        <v>1733</v>
      </c>
      <c r="I426" t="str">
        <f t="shared" si="6"/>
        <v>('LOPEZ MAMANI RENE','Carretera panamericana sur Nro. 275','CHINCHA ALTA','Zona: Chincha','913079273','47071800','F2'),</v>
      </c>
    </row>
    <row r="427" spans="1:9">
      <c r="A427" s="2">
        <v>506</v>
      </c>
      <c r="B427" s="9" t="s">
        <v>488</v>
      </c>
      <c r="C427" s="9" t="s">
        <v>489</v>
      </c>
      <c r="D427" s="9" t="s">
        <v>1680</v>
      </c>
      <c r="E427" s="9" t="s">
        <v>126</v>
      </c>
      <c r="F427" s="9">
        <v>947398631</v>
      </c>
      <c r="G427" s="12">
        <v>47123327</v>
      </c>
      <c r="H427" s="9" t="s">
        <v>1722</v>
      </c>
      <c r="I427" t="str">
        <f t="shared" si="6"/>
        <v>('ALMEYDA DE LA CRUZ JHONY JAVIER','psj. Santa Angela lt. 05 Cruz Blanca','CHINCHA ALTA','ZONA: CRUZ BLANCA VIRGEN CARMEN','947398631','47123327','F1'),</v>
      </c>
    </row>
    <row r="428" spans="1:9">
      <c r="A428" s="2">
        <v>507</v>
      </c>
      <c r="B428" s="9" t="s">
        <v>1129</v>
      </c>
      <c r="C428" s="9" t="s">
        <v>1130</v>
      </c>
      <c r="D428" s="9" t="s">
        <v>1680</v>
      </c>
      <c r="E428" s="9" t="s">
        <v>710</v>
      </c>
      <c r="F428" s="9" t="s">
        <v>1131</v>
      </c>
      <c r="G428" s="12">
        <v>47140229</v>
      </c>
      <c r="H428" s="9" t="s">
        <v>1722</v>
      </c>
      <c r="I428" t="str">
        <f t="shared" si="6"/>
        <v>('BAUTISTA TAYPE JOEL ANGEL','PSJ. JOSE OLAYA MZ. Q - LT 03 - CHINCHA ALTA','CHINCHA ALTA','ZONA: CHINCHA - AMERICA','904 370 223','47140229','F1'),</v>
      </c>
    </row>
    <row r="429" spans="1:9">
      <c r="A429" s="2">
        <v>508</v>
      </c>
      <c r="B429" s="9" t="s">
        <v>59</v>
      </c>
      <c r="C429" s="9" t="s">
        <v>60</v>
      </c>
      <c r="D429" s="9" t="s">
        <v>1679</v>
      </c>
      <c r="E429" s="9" t="s">
        <v>22</v>
      </c>
      <c r="F429" s="9">
        <v>923311111</v>
      </c>
      <c r="G429" s="12">
        <v>47144583</v>
      </c>
      <c r="H429" s="9" t="s">
        <v>1722</v>
      </c>
      <c r="I429" t="str">
        <f t="shared" si="6"/>
        <v>('GIRAO ATUNCAR LUIS CARLOS','PASAJE SANTA ROSA 130 - 01  SUNAMPE','SUNAMPE','ZONA: SUNAMPE – SAN PILPA','923311111','47144583','F1'),</v>
      </c>
    </row>
    <row r="430" spans="1:9">
      <c r="A430" s="2">
        <v>509</v>
      </c>
      <c r="B430" s="9" t="s">
        <v>80</v>
      </c>
      <c r="C430" s="9" t="s">
        <v>81</v>
      </c>
      <c r="D430" s="9" t="s">
        <v>1680</v>
      </c>
      <c r="E430" s="9" t="s">
        <v>27</v>
      </c>
      <c r="F430" s="9">
        <v>977787595</v>
      </c>
      <c r="G430" s="12">
        <v>47163450</v>
      </c>
      <c r="H430" s="9" t="s">
        <v>1722</v>
      </c>
      <c r="I430" t="str">
        <f t="shared" si="6"/>
        <v>('GARCIA CASTILLA JUAN JOSE','Av. Arenal s/n Lote 24 02- Cruz Blanca','CHINCHA ALTA','ZONA: CRUZ BLANCA PARTE BAJA','977787595','47163450','F1'),</v>
      </c>
    </row>
    <row r="431" spans="1:9">
      <c r="A431" s="2">
        <v>510</v>
      </c>
      <c r="B431" s="9" t="s">
        <v>803</v>
      </c>
      <c r="C431" s="9" t="s">
        <v>804</v>
      </c>
      <c r="D431" s="9" t="s">
        <v>1679</v>
      </c>
      <c r="E431" s="9" t="s">
        <v>36</v>
      </c>
      <c r="F431" s="9">
        <v>977321025</v>
      </c>
      <c r="G431" s="12">
        <v>47259336</v>
      </c>
      <c r="H431" s="9" t="s">
        <v>1722</v>
      </c>
      <c r="I431" t="str">
        <f t="shared" si="6"/>
        <v>('LOYOLA RAMOS MARTIN','AV. PARAISO OESTE 317 - LOMO LARGO - SUNAMPE','SUNAMPE','ZONA: SUNAMPE – PARAISO','977321025','47259336','F1'),</v>
      </c>
    </row>
    <row r="432" spans="1:9">
      <c r="A432" s="2">
        <v>512</v>
      </c>
      <c r="B432" s="9" t="s">
        <v>9</v>
      </c>
      <c r="C432" s="9" t="s">
        <v>10</v>
      </c>
      <c r="D432" s="9" t="s">
        <v>1681</v>
      </c>
      <c r="E432" s="9" t="s">
        <v>11</v>
      </c>
      <c r="F432" s="9">
        <v>936691447</v>
      </c>
      <c r="G432" s="12">
        <v>47353719</v>
      </c>
      <c r="H432" s="9" t="s">
        <v>1722</v>
      </c>
      <c r="I432" t="str">
        <f t="shared" si="6"/>
        <v>('PEÑA SOTO KATERINNE LIZETH','Calle Nueva Esperanza Mz. A Lt. 12 -Grocio Prado','GROCIO PRADO','ZONA: GROCIO - MEJILLONEROS','936691447','47353719','F1'),</v>
      </c>
    </row>
    <row r="433" spans="1:9">
      <c r="A433" s="2">
        <v>514</v>
      </c>
      <c r="B433" s="9" t="s">
        <v>893</v>
      </c>
      <c r="C433" s="9" t="s">
        <v>894</v>
      </c>
      <c r="D433" s="9" t="s">
        <v>1679</v>
      </c>
      <c r="E433" s="9" t="s">
        <v>8</v>
      </c>
      <c r="F433" s="9" t="s">
        <v>895</v>
      </c>
      <c r="G433" s="12">
        <v>47501937</v>
      </c>
      <c r="H433" s="9" t="s">
        <v>1722</v>
      </c>
      <c r="I433" t="str">
        <f t="shared" si="6"/>
        <v>('MENDOZA ALMEYDA VICTOR JEAN PIERRE','AV. FATIMA 1 LT. 03 - SUNAMPE','SUNAMPE','ZONA: SUNAMPE – COLEGIO','943 899 710','47501937','F1'),</v>
      </c>
    </row>
    <row r="434" spans="1:9">
      <c r="A434" s="2">
        <v>515</v>
      </c>
      <c r="B434" s="9" t="s">
        <v>23</v>
      </c>
      <c r="C434" s="9" t="s">
        <v>24</v>
      </c>
      <c r="D434" s="9" t="s">
        <v>1679</v>
      </c>
      <c r="E434" s="9" t="s">
        <v>22</v>
      </c>
      <c r="F434" s="9">
        <v>958995170</v>
      </c>
      <c r="G434" s="12">
        <v>47516353</v>
      </c>
      <c r="H434" s="9" t="s">
        <v>1722</v>
      </c>
      <c r="I434" t="str">
        <f t="shared" si="6"/>
        <v>('LOYOLA SARAVIA ROBERTO CARLOS','Parada de los Amigos Pasaje Renovacion - Sunampe','SUNAMPE','ZONA: SUNAMPE – SAN PILPA','958995170','47516353','F1'),</v>
      </c>
    </row>
    <row r="435" spans="1:9">
      <c r="A435" s="2">
        <v>516</v>
      </c>
      <c r="B435" s="9" t="s">
        <v>440</v>
      </c>
      <c r="C435" s="9" t="s">
        <v>150</v>
      </c>
      <c r="D435" s="9" t="s">
        <v>1679</v>
      </c>
      <c r="E435" s="9" t="s">
        <v>135</v>
      </c>
      <c r="F435" s="9">
        <v>996285735</v>
      </c>
      <c r="G435" s="12">
        <v>47519367</v>
      </c>
      <c r="H435" s="9" t="s">
        <v>1722</v>
      </c>
      <c r="I435" t="str">
        <f t="shared" si="6"/>
        <v>('TORRES BARRIOS DANIEL GERARDO','HUACA GRANDE - SUNAMPE','SUNAMPE','ZONA: SUNAMPE – HUACA GRANDE','996285735','47519367','F1'),</v>
      </c>
    </row>
    <row r="436" spans="1:9">
      <c r="A436" s="2">
        <v>519</v>
      </c>
      <c r="B436" s="9" t="s">
        <v>494</v>
      </c>
      <c r="C436" s="9" t="s">
        <v>495</v>
      </c>
      <c r="D436" s="9" t="s">
        <v>1680</v>
      </c>
      <c r="E436" s="9" t="s">
        <v>90</v>
      </c>
      <c r="F436" s="9">
        <v>982321816</v>
      </c>
      <c r="G436" s="12">
        <v>47711960</v>
      </c>
      <c r="H436" s="9" t="s">
        <v>1722</v>
      </c>
      <c r="I436" t="str">
        <f t="shared" si="6"/>
        <v>('LLANOS CHUQUISPUMA JESUS ALBERTO','condorillo alto S/N antes del colegio','CHINCHA ALTA','ZONA: CONDORILLO PARTE ALTA','982321816','47711960','F1'),</v>
      </c>
    </row>
    <row r="437" spans="1:9">
      <c r="A437" s="2">
        <v>520</v>
      </c>
      <c r="B437" s="9" t="s">
        <v>1583</v>
      </c>
      <c r="C437" s="9" t="s">
        <v>1584</v>
      </c>
      <c r="D437" s="9" t="s">
        <v>1682</v>
      </c>
      <c r="E437" s="9" t="s">
        <v>1582</v>
      </c>
      <c r="F437" s="9">
        <v>983963808</v>
      </c>
      <c r="G437" s="12">
        <v>47750177</v>
      </c>
      <c r="H437" s="9" t="s">
        <v>1722</v>
      </c>
      <c r="I437" t="str">
        <f t="shared" si="6"/>
        <v>('HUAMAN QUISPE FLORIANO GEANNENE','San Agustin','PUEBLO NUEVO','Zona: Rosedal','983963808','47750177','F1'),</v>
      </c>
    </row>
    <row r="438" spans="1:9">
      <c r="A438" s="2">
        <v>521</v>
      </c>
      <c r="B438" s="9" t="s">
        <v>999</v>
      </c>
      <c r="C438" s="9" t="s">
        <v>1000</v>
      </c>
      <c r="D438" s="9" t="s">
        <v>1679</v>
      </c>
      <c r="E438" s="9" t="s">
        <v>8</v>
      </c>
      <c r="F438" s="9">
        <v>950545744</v>
      </c>
      <c r="G438" s="12">
        <v>47841679</v>
      </c>
      <c r="H438" s="9" t="s">
        <v>1722</v>
      </c>
      <c r="I438" t="str">
        <f t="shared" si="6"/>
        <v>('ATUNCAR MARQUEZ HAROLD EDUARDO','AV. LAS VIÑAS EMANCIPACIÓN N° 500 INT. 12 - SUNAMPE (REF. HOSP. CESAR)','SUNAMPE','ZONA: SUNAMPE – COLEGIO','950545744','47841679','F1'),</v>
      </c>
    </row>
    <row r="439" spans="1:9">
      <c r="A439" s="2">
        <v>522</v>
      </c>
      <c r="B439" s="9" t="s">
        <v>1170</v>
      </c>
      <c r="C439" s="9" t="s">
        <v>1171</v>
      </c>
      <c r="D439" s="9" t="s">
        <v>1679</v>
      </c>
      <c r="E439" s="9" t="s">
        <v>718</v>
      </c>
      <c r="F439" s="9">
        <v>935252637</v>
      </c>
      <c r="G439" s="12">
        <v>47934103</v>
      </c>
      <c r="H439" s="9" t="s">
        <v>1722</v>
      </c>
      <c r="I439" t="str">
        <f t="shared" si="6"/>
        <v>('ANCHANTE RICALES ROBERTO CARLOS','CL. SAN MARTIN Nª 103 - CHACARITA - SUNAMPE','SUNAMPE','ZONA: SUNAMPE – CHACARITA','935252637','47934103','F1'),</v>
      </c>
    </row>
    <row r="440" spans="1:9">
      <c r="A440" s="2">
        <v>523</v>
      </c>
      <c r="B440" s="9" t="s">
        <v>457</v>
      </c>
      <c r="C440" s="9" t="s">
        <v>458</v>
      </c>
      <c r="D440" s="9" t="s">
        <v>1679</v>
      </c>
      <c r="E440" s="9" t="s">
        <v>106</v>
      </c>
      <c r="F440" s="9">
        <v>959932272</v>
      </c>
      <c r="G440" s="12">
        <v>48014534</v>
      </c>
      <c r="H440" s="9" t="s">
        <v>1722</v>
      </c>
      <c r="I440" t="str">
        <f t="shared" si="6"/>
        <v>('MATEO CABRERA LOURDES ISABEL','Av. garcilazo de la vega 470-Sunampe','SUNAMPE','ZONA: SUNAMPE - MINA DE ORO','959932272','48014534','F1'),</v>
      </c>
    </row>
    <row r="441" spans="1:9">
      <c r="A441" s="2">
        <v>524</v>
      </c>
      <c r="B441" s="9" t="s">
        <v>1060</v>
      </c>
      <c r="C441" s="9" t="s">
        <v>1061</v>
      </c>
      <c r="D441" s="9" t="s">
        <v>1679</v>
      </c>
      <c r="E441" s="9" t="s">
        <v>36</v>
      </c>
      <c r="F441" s="9" t="s">
        <v>1062</v>
      </c>
      <c r="G441" s="12">
        <v>48040901</v>
      </c>
      <c r="H441" s="9" t="s">
        <v>1722</v>
      </c>
      <c r="I441" t="str">
        <f t="shared" si="6"/>
        <v>('MATIAS CRISOSTOMO ANGEL ALBERTO','AV. PARAISO LT. 5-B - C.P. PARAISO - SUNAMPE','SUNAMPE','ZONA: SUNAMPE – PARAISO','933 241 678','48040901','F1'),</v>
      </c>
    </row>
    <row r="442" spans="1:9">
      <c r="A442" s="2">
        <v>525</v>
      </c>
      <c r="B442" s="9" t="s">
        <v>1063</v>
      </c>
      <c r="C442" s="9" t="s">
        <v>1064</v>
      </c>
      <c r="D442" s="9" t="s">
        <v>1681</v>
      </c>
      <c r="E442" s="9" t="s">
        <v>11</v>
      </c>
      <c r="F442" s="9" t="s">
        <v>1065</v>
      </c>
      <c r="G442" s="12">
        <v>48222293</v>
      </c>
      <c r="H442" s="9" t="s">
        <v>1722</v>
      </c>
      <c r="I442" t="str">
        <f t="shared" si="6"/>
        <v>('APOLAYA ROMERO NELZI KATHERINY','PROLG. BENAVIDES LT. 30 - GROCIO PRADO','GROCIO PRADO','ZONA: GROCIO - MEJILLONEROS','922 693 855','48222293','F1'),</v>
      </c>
    </row>
    <row r="443" spans="1:9">
      <c r="A443" s="2">
        <v>528</v>
      </c>
      <c r="B443" s="9" t="s">
        <v>153</v>
      </c>
      <c r="C443" s="9" t="s">
        <v>154</v>
      </c>
      <c r="D443" s="9" t="s">
        <v>1680</v>
      </c>
      <c r="E443" s="9" t="s">
        <v>126</v>
      </c>
      <c r="F443" s="9">
        <v>997216682</v>
      </c>
      <c r="G443" s="12">
        <v>48477799</v>
      </c>
      <c r="H443" s="9" t="s">
        <v>1722</v>
      </c>
      <c r="I443" t="str">
        <f t="shared" si="6"/>
        <v>('PADILLA ACEVEDO ARALI NERIDA','Calle santa angela, frente al mega mercado - Cruz Blanca','CHINCHA ALTA','ZONA: CRUZ BLANCA VIRGEN CARMEN','997216682','48477799','F1'),</v>
      </c>
    </row>
    <row r="444" spans="1:9">
      <c r="A444" s="2">
        <v>529</v>
      </c>
      <c r="B444" s="9" t="s">
        <v>958</v>
      </c>
      <c r="C444" s="9" t="s">
        <v>959</v>
      </c>
      <c r="D444" s="9" t="s">
        <v>1679</v>
      </c>
      <c r="E444" s="9" t="s">
        <v>718</v>
      </c>
      <c r="F444" s="9">
        <v>922095735</v>
      </c>
      <c r="G444" s="12">
        <v>48510379</v>
      </c>
      <c r="H444" s="9" t="s">
        <v>1722</v>
      </c>
      <c r="I444" t="str">
        <f t="shared" si="6"/>
        <v>('SOTELO RAMOS WILLIAN ALEXANDER','PSJE SAN MIGUEL MZ B LOTE 22, BARRIO CHACARITA - SUNAMPE','SUNAMPE','ZONA: SUNAMPE – CHACARITA','922095735','48510379','F1'),</v>
      </c>
    </row>
    <row r="445" spans="1:9">
      <c r="A445" s="2">
        <v>530</v>
      </c>
      <c r="B445" s="9" t="s">
        <v>847</v>
      </c>
      <c r="C445" s="9" t="s">
        <v>848</v>
      </c>
      <c r="D445" s="9" t="s">
        <v>1679</v>
      </c>
      <c r="E445" s="9" t="s">
        <v>22</v>
      </c>
      <c r="F445" s="9" t="s">
        <v>849</v>
      </c>
      <c r="G445" s="12">
        <v>48591427</v>
      </c>
      <c r="H445" s="9" t="s">
        <v>1722</v>
      </c>
      <c r="I445" t="str">
        <f t="shared" si="6"/>
        <v>('MARTINEZ DE LA CRUZ RICHARD ANTHONY','SAN PEDRO DE PILPA S/N - SUNAMPE','SUNAMPE','ZONA: SUNAMPE – SAN PILPA','946 489 470','48591427','F1'),</v>
      </c>
    </row>
    <row r="446" spans="1:9">
      <c r="A446" s="2">
        <v>531</v>
      </c>
      <c r="B446" s="9" t="s">
        <v>492</v>
      </c>
      <c r="C446" s="9" t="s">
        <v>493</v>
      </c>
      <c r="D446" s="9" t="s">
        <v>1679</v>
      </c>
      <c r="E446" s="9" t="s">
        <v>22</v>
      </c>
      <c r="F446" s="9">
        <v>923455593</v>
      </c>
      <c r="G446" s="12">
        <v>48615183</v>
      </c>
      <c r="H446" s="9" t="s">
        <v>1722</v>
      </c>
      <c r="I446" t="str">
        <f t="shared" si="6"/>
        <v>('ATUNCAR ROJAS MARIA LUISA','PILPA PASANDO LA CAPILLA','SUNAMPE','ZONA: SUNAMPE – SAN PILPA','923455593','48615183','F1'),</v>
      </c>
    </row>
    <row r="447" spans="1:9">
      <c r="A447" s="2">
        <v>532</v>
      </c>
      <c r="B447" s="9" t="s">
        <v>605</v>
      </c>
      <c r="C447" s="9" t="s">
        <v>606</v>
      </c>
      <c r="D447" s="9" t="s">
        <v>1680</v>
      </c>
      <c r="E447" s="9" t="s">
        <v>99</v>
      </c>
      <c r="F447" s="9">
        <v>921841005</v>
      </c>
      <c r="G447" s="12">
        <v>48674029</v>
      </c>
      <c r="H447" s="9" t="s">
        <v>1722</v>
      </c>
      <c r="I447" t="str">
        <f t="shared" si="6"/>
        <v>('GUEVARA ORTIZ KARLA MELISSA','A.A.H.H NUEVO SAN VALENTIN B15','CHINCHA ALTA','ZONA: CRUZ BLANCA CAMPO','921841005','48674029','F1'),</v>
      </c>
    </row>
    <row r="448" spans="1:9">
      <c r="A448" s="2">
        <v>533</v>
      </c>
      <c r="B448" s="9" t="s">
        <v>422</v>
      </c>
      <c r="C448" s="9" t="s">
        <v>423</v>
      </c>
      <c r="D448" s="9" t="s">
        <v>1680</v>
      </c>
      <c r="E448" s="9" t="s">
        <v>99</v>
      </c>
      <c r="F448" s="9">
        <v>955295107</v>
      </c>
      <c r="G448" s="12">
        <v>48947197</v>
      </c>
      <c r="H448" s="9" t="s">
        <v>1722</v>
      </c>
      <c r="I448" t="str">
        <f t="shared" si="6"/>
        <v>('RIOJAS PEREZ CATHERINE YAJAYRA','Nuevo san valentin S/N -Nuevo Condorillo Bajo','CHINCHA ALTA','ZONA: CRUZ BLANCA CAMPO','955295107','48947197','F1'),</v>
      </c>
    </row>
    <row r="449" spans="1:9">
      <c r="A449" s="2">
        <v>534</v>
      </c>
      <c r="B449" s="9" t="s">
        <v>1094</v>
      </c>
      <c r="C449" s="9" t="s">
        <v>1095</v>
      </c>
      <c r="D449" s="9" t="s">
        <v>1679</v>
      </c>
      <c r="E449" s="9" t="s">
        <v>106</v>
      </c>
      <c r="F449" s="9" t="s">
        <v>1096</v>
      </c>
      <c r="G449" s="12">
        <v>60454449</v>
      </c>
      <c r="H449" s="9" t="s">
        <v>1722</v>
      </c>
      <c r="I449" t="str">
        <f t="shared" si="6"/>
        <v>('PEREZ TERRONES GRETY','CL. MINA DE ORO Nª 06, C.P. MINA DE ORO - SUNAMPE','SUNAMPE','ZONA: SUNAMPE - MINA DE ORO','912 143 217','60454449','F1'),</v>
      </c>
    </row>
    <row r="450" spans="1:9">
      <c r="A450" s="2">
        <v>535</v>
      </c>
      <c r="B450" s="9" t="s">
        <v>461</v>
      </c>
      <c r="C450" s="9" t="s">
        <v>462</v>
      </c>
      <c r="D450" s="9" t="s">
        <v>1680</v>
      </c>
      <c r="E450" s="9" t="s">
        <v>99</v>
      </c>
      <c r="F450" s="9">
        <v>935267119</v>
      </c>
      <c r="G450" s="12">
        <v>60610091</v>
      </c>
      <c r="H450" s="9" t="s">
        <v>1722</v>
      </c>
      <c r="I450" t="str">
        <f t="shared" si="6"/>
        <v>('MARTINEZ LUIS NEYRA LESLIE','Nuevo condorillo, san valentin B. 16','CHINCHA ALTA','ZONA: CRUZ BLANCA CAMPO','935267119','60610091','F1'),</v>
      </c>
    </row>
    <row r="451" spans="1:9">
      <c r="A451" s="2">
        <v>536</v>
      </c>
      <c r="B451" s="9" t="s">
        <v>325</v>
      </c>
      <c r="C451" s="9" t="s">
        <v>326</v>
      </c>
      <c r="D451" s="9" t="s">
        <v>1679</v>
      </c>
      <c r="E451" s="9" t="s">
        <v>106</v>
      </c>
      <c r="F451" s="9">
        <v>986716266</v>
      </c>
      <c r="G451" s="12">
        <v>60752783</v>
      </c>
      <c r="H451" s="9" t="s">
        <v>1722</v>
      </c>
      <c r="I451" t="str">
        <f t="shared" ref="I451:I514" si="7">"('"&amp;B451&amp;"','"&amp;C451&amp;"','"&amp;D451&amp;"','"&amp;E451&amp;"','"&amp;F451&amp;"','"&amp;G451&amp;"','"&amp;H451&amp;"'),"</f>
        <v>('MAGALLANES APOLAYA JULIANA HAYDEE','Centro Poblado Mina de Oro Mz B Lote 6 Ref: Estadio de Mina de oro','SUNAMPE','ZONA: SUNAMPE - MINA DE ORO','986716266','60752783','F1'),</v>
      </c>
    </row>
    <row r="452" spans="1:9">
      <c r="A452" s="2">
        <v>537</v>
      </c>
      <c r="B452" s="9" t="s">
        <v>681</v>
      </c>
      <c r="C452" s="9" t="s">
        <v>682</v>
      </c>
      <c r="D452" s="9" t="s">
        <v>1680</v>
      </c>
      <c r="E452" s="9" t="s">
        <v>126</v>
      </c>
      <c r="F452" s="9">
        <v>970991577</v>
      </c>
      <c r="G452" s="12">
        <v>61298144</v>
      </c>
      <c r="H452" s="9" t="s">
        <v>1722</v>
      </c>
      <c r="I452" t="str">
        <f t="shared" si="7"/>
        <v>('DAGA MENDOZA WALTER JESUS','PSJ. SANTA ANGELA, FRENTE AL MEGA MERCADO - CRUZ BLANCA','CHINCHA ALTA','ZONA: CRUZ BLANCA VIRGEN CARMEN','970991577','61298144','F1'),</v>
      </c>
    </row>
    <row r="453" spans="1:9">
      <c r="A453" s="2">
        <v>538</v>
      </c>
      <c r="B453" s="9" t="s">
        <v>726</v>
      </c>
      <c r="C453" s="9" t="s">
        <v>727</v>
      </c>
      <c r="D453" s="9" t="s">
        <v>1680</v>
      </c>
      <c r="E453" s="9" t="s">
        <v>19</v>
      </c>
      <c r="F453" s="9" t="s">
        <v>728</v>
      </c>
      <c r="G453" s="12">
        <v>61577404</v>
      </c>
      <c r="H453" s="9" t="s">
        <v>1722</v>
      </c>
      <c r="I453" t="str">
        <f t="shared" si="7"/>
        <v>('CHIQUILLAN CUYA MAYUMI GLADYS ZADITH','Pasaje beata melchorita-Cruz blanca Ref: Por el colegio 22234 a la mano derecha al fondo','CHINCHA ALTA','ZONA: CRUZ BLANCA PARTE ALTA oruro','918 893 400','61577404','F1'),</v>
      </c>
    </row>
    <row r="454" spans="1:9">
      <c r="A454" s="2">
        <v>541</v>
      </c>
      <c r="B454" s="9" t="s">
        <v>305</v>
      </c>
      <c r="C454" s="9" t="s">
        <v>306</v>
      </c>
      <c r="D454" s="9" t="s">
        <v>1679</v>
      </c>
      <c r="E454" s="9" t="s">
        <v>22</v>
      </c>
      <c r="F454" s="9">
        <v>997310787</v>
      </c>
      <c r="G454" s="12">
        <v>62723842</v>
      </c>
      <c r="H454" s="9" t="s">
        <v>1722</v>
      </c>
      <c r="I454" t="str">
        <f t="shared" si="7"/>
        <v>('MOSCAYZA PEREZ JEREMI POOL','Pasaje Villa, parada de los amigos 195','SUNAMPE','ZONA: SUNAMPE – SAN PILPA','997310787','62723842','F1'),</v>
      </c>
    </row>
    <row r="455" spans="1:9">
      <c r="A455" s="2">
        <v>542</v>
      </c>
      <c r="B455" s="9" t="s">
        <v>1035</v>
      </c>
      <c r="C455" s="9" t="s">
        <v>1036</v>
      </c>
      <c r="D455" s="9" t="s">
        <v>1680</v>
      </c>
      <c r="E455" s="9" t="s">
        <v>334</v>
      </c>
      <c r="F455" s="9" t="s">
        <v>1713</v>
      </c>
      <c r="G455" s="12">
        <v>62892038</v>
      </c>
      <c r="H455" s="9" t="s">
        <v>1722</v>
      </c>
      <c r="I455" t="str">
        <f t="shared" si="7"/>
        <v>('ALVAREZ CHUQUISPUMA JHAN MARTIN','C.P. CONDORILLO ALTO MZ. N LT. 15 - CHINCHA','CHINCHA ALTA','ZONA: CONDORILLO PARTE BAJA','924 702 432','62892038','F1'),</v>
      </c>
    </row>
    <row r="456" spans="1:9">
      <c r="A456" s="2">
        <v>543</v>
      </c>
      <c r="B456" s="9" t="s">
        <v>711</v>
      </c>
      <c r="C456" s="9" t="s">
        <v>712</v>
      </c>
      <c r="D456" s="9" t="s">
        <v>1679</v>
      </c>
      <c r="E456" s="9" t="s">
        <v>22</v>
      </c>
      <c r="F456" s="9">
        <v>925452697</v>
      </c>
      <c r="G456" s="12">
        <v>70051105</v>
      </c>
      <c r="H456" s="9" t="s">
        <v>1722</v>
      </c>
      <c r="I456" t="str">
        <f t="shared" si="7"/>
        <v>('VILLA SARAVIA MARIA GLADYS','PSJE VILLA S/N-PARADA DE LOS AMIGOS GROCIO PRADO REF: pasando la capilla','SUNAMPE','ZONA: SUNAMPE – SAN PILPA','925452697','70051105','F1'),</v>
      </c>
    </row>
    <row r="457" spans="1:9">
      <c r="A457" s="2">
        <v>544</v>
      </c>
      <c r="B457" s="9" t="s">
        <v>424</v>
      </c>
      <c r="C457" s="9" t="s">
        <v>425</v>
      </c>
      <c r="D457" s="9" t="s">
        <v>1680</v>
      </c>
      <c r="E457" s="9" t="s">
        <v>99</v>
      </c>
      <c r="F457" s="9">
        <v>912209926</v>
      </c>
      <c r="G457" s="12">
        <v>70051411</v>
      </c>
      <c r="H457" s="9" t="s">
        <v>1722</v>
      </c>
      <c r="I457" t="str">
        <f t="shared" si="7"/>
        <v>('TASAYCO PEÑALOZA MIGUEL ANGEL','Nuevo San Valentin, invasion de condorillo','CHINCHA ALTA','ZONA: CRUZ BLANCA CAMPO','912209926','70051411','F1'),</v>
      </c>
    </row>
    <row r="458" spans="1:9">
      <c r="A458" s="2">
        <v>545</v>
      </c>
      <c r="B458" s="9" t="s">
        <v>609</v>
      </c>
      <c r="C458" s="9" t="s">
        <v>610</v>
      </c>
      <c r="D458" s="9" t="s">
        <v>1680</v>
      </c>
      <c r="E458" s="9" t="s">
        <v>99</v>
      </c>
      <c r="F458" s="9">
        <v>912363109</v>
      </c>
      <c r="G458" s="12">
        <v>70098756</v>
      </c>
      <c r="H458" s="9" t="s">
        <v>1722</v>
      </c>
      <c r="I458" t="str">
        <f t="shared" si="7"/>
        <v>('YATACO MAGALLANES MILAGROS MARCELA','A.A.H.H NUEVO SAN VALENTIN - PRIMERA ENTRADA','CHINCHA ALTA','ZONA: CRUZ BLANCA CAMPO','912363109','70098756','F1'),</v>
      </c>
    </row>
    <row r="459" spans="1:9">
      <c r="A459" s="2">
        <v>546</v>
      </c>
      <c r="B459" s="9" t="s">
        <v>570</v>
      </c>
      <c r="C459" s="9" t="s">
        <v>571</v>
      </c>
      <c r="D459" s="9" t="s">
        <v>1680</v>
      </c>
      <c r="E459" s="9" t="s">
        <v>27</v>
      </c>
      <c r="F459" s="9">
        <v>943076964</v>
      </c>
      <c r="G459" s="12">
        <v>70099633</v>
      </c>
      <c r="H459" s="9" t="s">
        <v>1722</v>
      </c>
      <c r="I459" t="str">
        <f t="shared" si="7"/>
        <v>('VILLA MAGALLANES CARMEN RUBI','Calle Sebastián Barranca S/N - Cruz Blanca','CHINCHA ALTA','ZONA: CRUZ BLANCA PARTE BAJA','943076964','70099633','F1'),</v>
      </c>
    </row>
    <row r="460" spans="1:9">
      <c r="A460" s="2">
        <v>549</v>
      </c>
      <c r="B460" s="9" t="s">
        <v>639</v>
      </c>
      <c r="C460" s="9" t="s">
        <v>640</v>
      </c>
      <c r="D460" s="9" t="s">
        <v>1679</v>
      </c>
      <c r="E460" s="9" t="s">
        <v>5</v>
      </c>
      <c r="F460" s="9">
        <v>920787827</v>
      </c>
      <c r="G460" s="12">
        <v>70249186</v>
      </c>
      <c r="H460" s="9" t="s">
        <v>1722</v>
      </c>
      <c r="I460" t="str">
        <f t="shared" si="7"/>
        <v>('PACHAS YATACO MIRTHA YESENIA','AV. SANTA ROSA S/N (SEGUNDA ENTRADA) - SUNAMPE','SUNAMPE','ZONA: SUNAMPE – SANTA ROSA','920787827','70249186','F1'),</v>
      </c>
    </row>
    <row r="461" spans="1:9">
      <c r="A461" s="2">
        <v>550</v>
      </c>
      <c r="B461" s="9" t="s">
        <v>1252</v>
      </c>
      <c r="C461" s="9" t="s">
        <v>1253</v>
      </c>
      <c r="D461" s="9" t="s">
        <v>1680</v>
      </c>
      <c r="E461" s="9" t="s">
        <v>126</v>
      </c>
      <c r="F461" s="9" t="s">
        <v>1254</v>
      </c>
      <c r="G461" s="12">
        <v>70249354</v>
      </c>
      <c r="H461" s="9" t="s">
        <v>1722</v>
      </c>
      <c r="I461" t="str">
        <f t="shared" si="7"/>
        <v>('VELASQUEZ CONDORI ELVIS AMILCAR','AV. UNION NRO 109 - C.P. SANTA ROSA (CRUZ BLANCA) - CHINCHA ALTA','CHINCHA ALTA','ZONA: CRUZ BLANCA VIRGEN CARMEN','940 583 772','70249354','F1'),</v>
      </c>
    </row>
    <row r="462" spans="1:9">
      <c r="A462" s="2">
        <v>552</v>
      </c>
      <c r="B462" s="9" t="s">
        <v>755</v>
      </c>
      <c r="C462" s="9" t="s">
        <v>756</v>
      </c>
      <c r="D462" s="9" t="s">
        <v>1680</v>
      </c>
      <c r="E462" s="9" t="s">
        <v>126</v>
      </c>
      <c r="F462" s="9" t="s">
        <v>757</v>
      </c>
      <c r="G462" s="12">
        <v>70312109</v>
      </c>
      <c r="H462" s="9" t="s">
        <v>1722</v>
      </c>
      <c r="I462" t="str">
        <f t="shared" si="7"/>
        <v>('MAGALLANES SALVADOR VICTOR ALEXIS','Psj. Jose Olaya ex pilpa','CHINCHA ALTA','ZONA: CRUZ BLANCA VIRGEN CARMEN','993 189 596','70312109','F1'),</v>
      </c>
    </row>
    <row r="463" spans="1:9">
      <c r="A463" s="2">
        <v>553</v>
      </c>
      <c r="B463" s="9" t="s">
        <v>673</v>
      </c>
      <c r="C463" s="9" t="s">
        <v>674</v>
      </c>
      <c r="D463" s="9" t="s">
        <v>1680</v>
      </c>
      <c r="E463" s="9" t="s">
        <v>99</v>
      </c>
      <c r="F463" s="9">
        <v>972016952</v>
      </c>
      <c r="G463" s="12">
        <v>70312540</v>
      </c>
      <c r="H463" s="9" t="s">
        <v>1722</v>
      </c>
      <c r="I463" t="str">
        <f t="shared" si="7"/>
        <v>('MAGALLANES GARCIA LUZ MARLENY','Ulises San Valentín manzana Gn Lote 4- Condorillo','CHINCHA ALTA','ZONA: CRUZ BLANCA CAMPO','972016952','70312540','F1'),</v>
      </c>
    </row>
    <row r="464" spans="1:9">
      <c r="A464" s="2">
        <v>554</v>
      </c>
      <c r="B464" s="9" t="s">
        <v>1213</v>
      </c>
      <c r="C464" s="9" t="s">
        <v>1214</v>
      </c>
      <c r="D464" s="9" t="s">
        <v>1679</v>
      </c>
      <c r="E464" s="9" t="s">
        <v>36</v>
      </c>
      <c r="F464" s="9" t="s">
        <v>1215</v>
      </c>
      <c r="G464" s="12">
        <v>70312599</v>
      </c>
      <c r="H464" s="9" t="s">
        <v>1722</v>
      </c>
      <c r="I464" t="str">
        <f t="shared" si="7"/>
        <v>('RAMOS ALMEYDA ROCIO BEATRIZ','CL. MIGUEL GRAU LOTE MZ. M - LT. 11 - C.P. LOMO LARGO - SUNAMPE','SUNAMPE','ZONA: SUNAMPE – PARAISO','962 120 170','70312599','F1'),</v>
      </c>
    </row>
    <row r="465" spans="1:9">
      <c r="A465" s="2">
        <v>557</v>
      </c>
      <c r="B465" s="9" t="s">
        <v>479</v>
      </c>
      <c r="C465" s="9" t="s">
        <v>480</v>
      </c>
      <c r="D465" s="9" t="s">
        <v>1681</v>
      </c>
      <c r="E465" s="9" t="s">
        <v>317</v>
      </c>
      <c r="F465" s="9">
        <v>954642849</v>
      </c>
      <c r="G465" s="12">
        <v>70365628</v>
      </c>
      <c r="H465" s="9" t="s">
        <v>1722</v>
      </c>
      <c r="I465" t="str">
        <f t="shared" si="7"/>
        <v>('GARCIA YATACO RONALD STALIN','BARRIO EL PORVENIR MZ E LOTE 19 - GROCIO PRADO','GROCIO PRADO','ZONA: GROCIO - EL PORVENIR','954642849','70365628','F1'),</v>
      </c>
    </row>
    <row r="466" spans="1:9">
      <c r="A466" s="2">
        <v>558</v>
      </c>
      <c r="B466" s="9" t="s">
        <v>124</v>
      </c>
      <c r="C466" s="9" t="s">
        <v>125</v>
      </c>
      <c r="D466" s="9" t="s">
        <v>1680</v>
      </c>
      <c r="E466" s="9" t="s">
        <v>126</v>
      </c>
      <c r="F466" s="9">
        <v>923160732</v>
      </c>
      <c r="G466" s="12">
        <v>70365697</v>
      </c>
      <c r="H466" s="9" t="s">
        <v>1722</v>
      </c>
      <c r="I466" t="str">
        <f t="shared" si="7"/>
        <v>('MESIAS TORRES MIRIAM MARLENI','Psj. Napa S/N - Cruz Blanca','CHINCHA ALTA','ZONA: CRUZ BLANCA VIRGEN CARMEN','923160732','70365697','F1'),</v>
      </c>
    </row>
    <row r="467" spans="1:9">
      <c r="A467" s="2">
        <v>559</v>
      </c>
      <c r="B467" s="9" t="s">
        <v>116</v>
      </c>
      <c r="C467" s="9" t="s">
        <v>117</v>
      </c>
      <c r="D467" s="9" t="s">
        <v>1680</v>
      </c>
      <c r="E467" s="9" t="s">
        <v>19</v>
      </c>
      <c r="F467" s="9">
        <v>968246931</v>
      </c>
      <c r="G467" s="12">
        <v>70366439</v>
      </c>
      <c r="H467" s="9" t="s">
        <v>1722</v>
      </c>
      <c r="I467" t="str">
        <f t="shared" si="7"/>
        <v>('SEBASTIAN SARAVIA JUNIOR RAFAEL','Av. Alva Maurtua 514 - Cruz Blanca','CHINCHA ALTA','ZONA: CRUZ BLANCA PARTE ALTA oruro','968246931','70366439','F1'),</v>
      </c>
    </row>
    <row r="468" spans="1:9">
      <c r="A468" s="2">
        <v>560</v>
      </c>
      <c r="B468" s="9" t="s">
        <v>752</v>
      </c>
      <c r="C468" s="9" t="s">
        <v>753</v>
      </c>
      <c r="D468" s="9" t="s">
        <v>1679</v>
      </c>
      <c r="E468" s="9" t="s">
        <v>14</v>
      </c>
      <c r="F468" s="9" t="s">
        <v>754</v>
      </c>
      <c r="G468" s="12">
        <v>70394563</v>
      </c>
      <c r="H468" s="9" t="s">
        <v>1722</v>
      </c>
      <c r="I468" t="str">
        <f t="shared" si="7"/>
        <v>('TORRES LUJAN ALEJANDRO JUNIOR','AV. SAN CRISTOBAL N196, VILLA JULIA - SUNAMPE','SUNAMPE','ZONA: SUNAMPE – VILLA JULIA','967 858 313','70394563','F1'),</v>
      </c>
    </row>
    <row r="469" spans="1:9">
      <c r="A469" s="2">
        <v>561</v>
      </c>
      <c r="B469" s="9" t="s">
        <v>1229</v>
      </c>
      <c r="C469" s="9" t="s">
        <v>1230</v>
      </c>
      <c r="D469" s="9" t="s">
        <v>1679</v>
      </c>
      <c r="E469" s="9" t="s">
        <v>14</v>
      </c>
      <c r="F469" s="9">
        <v>988638758</v>
      </c>
      <c r="G469" s="12">
        <v>70394627</v>
      </c>
      <c r="H469" s="9" t="s">
        <v>1722</v>
      </c>
      <c r="I469" t="str">
        <f t="shared" si="7"/>
        <v>('SOTELO DE LA CRUZ JANPOOL ALEXANDRO','PSJ EL ANGEL S/N - CERCADO CHINCHA ALTA','SUNAMPE','ZONA: SUNAMPE – VILLA JULIA','988638758','70394627','F1'),</v>
      </c>
    </row>
    <row r="470" spans="1:9">
      <c r="A470" s="2">
        <v>562</v>
      </c>
      <c r="B470" s="9" t="s">
        <v>197</v>
      </c>
      <c r="C470" s="9" t="s">
        <v>198</v>
      </c>
      <c r="D470" s="9" t="s">
        <v>1679</v>
      </c>
      <c r="E470" s="9" t="s">
        <v>22</v>
      </c>
      <c r="F470" s="9">
        <v>947151746</v>
      </c>
      <c r="G470" s="12">
        <v>70401918</v>
      </c>
      <c r="H470" s="9" t="s">
        <v>1722</v>
      </c>
      <c r="I470" t="str">
        <f t="shared" si="7"/>
        <v>('VILLA CASTILLA NANCY','Calle San Vicente ferrer 300 - Int. 10 - Sunampe','SUNAMPE','ZONA: SUNAMPE – SAN PILPA','947151746','70401918','F1'),</v>
      </c>
    </row>
    <row r="471" spans="1:9">
      <c r="A471" s="2">
        <v>563</v>
      </c>
      <c r="B471" s="9" t="s">
        <v>94</v>
      </c>
      <c r="C471" s="9" t="s">
        <v>95</v>
      </c>
      <c r="D471" s="9" t="s">
        <v>1679</v>
      </c>
      <c r="E471" s="9" t="s">
        <v>5</v>
      </c>
      <c r="F471" s="9">
        <v>929564075</v>
      </c>
      <c r="G471" s="12">
        <v>70401928</v>
      </c>
      <c r="H471" s="9" t="s">
        <v>1722</v>
      </c>
      <c r="I471" t="str">
        <f t="shared" si="7"/>
        <v>('SOTELO MATTA GUISELLA ESPERANZA','PSJ. ANDRES AVELINO CACERES 137, SANTA ROSA - SUNAMPE','SUNAMPE','ZONA: SUNAMPE – SANTA ROSA','929564075','70401928','F1'),</v>
      </c>
    </row>
    <row r="472" spans="1:9">
      <c r="A472" s="2">
        <v>564</v>
      </c>
      <c r="B472" s="9" t="s">
        <v>1668</v>
      </c>
      <c r="C472" s="9" t="s">
        <v>1669</v>
      </c>
      <c r="D472" s="9" t="s">
        <v>1683</v>
      </c>
      <c r="E472" s="9" t="s">
        <v>1622</v>
      </c>
      <c r="F472" s="9" t="s">
        <v>1670</v>
      </c>
      <c r="G472" s="12">
        <v>70460220</v>
      </c>
      <c r="H472" s="9" t="s">
        <v>1722</v>
      </c>
      <c r="I472" t="str">
        <f t="shared" si="7"/>
        <v>('DE LOS RIOS PINEDO CRISTHIAN ALEXIS','AV. DOS DE MAYO N°127 - TAMBO DE MORA','TAMBO DE MORA','Zona: Tambo de Mora 2','977 408 606','70460220','F1'),</v>
      </c>
    </row>
    <row r="473" spans="1:9">
      <c r="A473" s="2">
        <v>565</v>
      </c>
      <c r="B473" s="9" t="s">
        <v>1664</v>
      </c>
      <c r="C473" s="9" t="s">
        <v>1665</v>
      </c>
      <c r="D473" s="9" t="s">
        <v>1683</v>
      </c>
      <c r="E473" s="9" t="s">
        <v>1627</v>
      </c>
      <c r="F473" s="9">
        <v>970559726</v>
      </c>
      <c r="G473" s="12">
        <v>70460727</v>
      </c>
      <c r="H473" s="9" t="s">
        <v>1722</v>
      </c>
      <c r="I473" t="str">
        <f t="shared" si="7"/>
        <v>('PINEDO FELIPA JEREMY TOBARIS','NUEVO TAMBO DE MORA MZ. E3 LT 37','TAMBO DE MORA','Zona: Tambo de Mora 1','970559726','70460727','F1'),</v>
      </c>
    </row>
    <row r="474" spans="1:9">
      <c r="A474" s="2">
        <v>566</v>
      </c>
      <c r="B474" s="9" t="s">
        <v>933</v>
      </c>
      <c r="C474" s="9" t="s">
        <v>934</v>
      </c>
      <c r="D474" s="9" t="s">
        <v>1679</v>
      </c>
      <c r="E474" s="9" t="s">
        <v>22</v>
      </c>
      <c r="F474" s="9" t="s">
        <v>935</v>
      </c>
      <c r="G474" s="12">
        <v>70480530</v>
      </c>
      <c r="H474" s="9" t="s">
        <v>1722</v>
      </c>
      <c r="I474" t="str">
        <f t="shared" si="7"/>
        <v>('ROJAS ALMEYDA MARTIN ARMANDO','CALLE LOS PALTOS N°117,  LOMO LARGO - SUNAMPE','SUNAMPE','ZONA: SUNAMPE – SAN PILPA','927 796 090','70480530','F1'),</v>
      </c>
    </row>
    <row r="475" spans="1:9">
      <c r="A475" s="2">
        <v>567</v>
      </c>
      <c r="B475" s="9" t="s">
        <v>814</v>
      </c>
      <c r="C475" s="9" t="s">
        <v>815</v>
      </c>
      <c r="D475" s="9" t="s">
        <v>1679</v>
      </c>
      <c r="E475" s="9" t="s">
        <v>36</v>
      </c>
      <c r="F475" s="9" t="s">
        <v>816</v>
      </c>
      <c r="G475" s="12">
        <v>70482572</v>
      </c>
      <c r="H475" s="9" t="s">
        <v>1722</v>
      </c>
      <c r="I475" t="str">
        <f t="shared" si="7"/>
        <v>('VASQUEZ ZAPATA JESSICA KATHERINE','AV. LA MAR N° 468 - LOMO LARGO - SUNAMPE','SUNAMPE','ZONA: SUNAMPE – PARAISO','956 271 875','70482572','F1'),</v>
      </c>
    </row>
    <row r="476" spans="1:9">
      <c r="A476" s="2">
        <v>568</v>
      </c>
      <c r="B476" s="9" t="s">
        <v>1322</v>
      </c>
      <c r="C476" s="9" t="s">
        <v>1323</v>
      </c>
      <c r="D476" s="9" t="s">
        <v>1682</v>
      </c>
      <c r="E476" s="9" t="s">
        <v>1257</v>
      </c>
      <c r="F476" s="9" t="s">
        <v>1324</v>
      </c>
      <c r="G476" s="12">
        <v>70507481</v>
      </c>
      <c r="H476" s="9" t="s">
        <v>1722</v>
      </c>
      <c r="I476" t="str">
        <f t="shared" si="7"/>
        <v>('VASQUEZ VASQUEZ LUISA BRILLYD','JR. LOS MARTINES N° 222 - SAN ISIDRO - PUEBLO NUEVO','PUEBLO NUEVO','ZONA: PUEBLO - LAS AMERICAS','969 994 573','70507481','F1'),</v>
      </c>
    </row>
    <row r="477" spans="1:9">
      <c r="A477" s="2">
        <v>569</v>
      </c>
      <c r="B477" s="9" t="s">
        <v>568</v>
      </c>
      <c r="C477" s="9" t="s">
        <v>569</v>
      </c>
      <c r="D477" s="9" t="s">
        <v>1680</v>
      </c>
      <c r="E477" s="9" t="s">
        <v>19</v>
      </c>
      <c r="F477" s="9">
        <v>921393880</v>
      </c>
      <c r="G477" s="12">
        <v>70605584</v>
      </c>
      <c r="H477" s="9" t="s">
        <v>1722</v>
      </c>
      <c r="I477" t="str">
        <f t="shared" si="7"/>
        <v>('ABREGU MAGALLANES FERNANDO ALEXANDER','Psj. Santa Rosa - Cruz Blanca - Oruro parte Alta','CHINCHA ALTA','ZONA: CRUZ BLANCA PARTE ALTA oruro','921393880','70605584','F1'),</v>
      </c>
    </row>
    <row r="478" spans="1:9">
      <c r="A478" s="2">
        <v>570</v>
      </c>
      <c r="B478" s="9" t="s">
        <v>643</v>
      </c>
      <c r="C478" s="9" t="s">
        <v>644</v>
      </c>
      <c r="D478" s="9" t="s">
        <v>1680</v>
      </c>
      <c r="E478" s="9" t="s">
        <v>126</v>
      </c>
      <c r="F478" s="9">
        <v>902257913</v>
      </c>
      <c r="G478" s="12">
        <v>70746467</v>
      </c>
      <c r="H478" s="9" t="s">
        <v>1722</v>
      </c>
      <c r="I478" t="str">
        <f t="shared" si="7"/>
        <v>('GARCIA OCHOA ERICK MIGUEL','AA.HH. VIRGEN DEL CARMEN MZ. F LT. 10, CRUZ BLANCA - CHINCHA','CHINCHA ALTA','ZONA: CRUZ BLANCA VIRGEN CARMEN','902257913','70746467','F1'),</v>
      </c>
    </row>
    <row r="479" spans="1:9">
      <c r="A479" s="2">
        <v>571</v>
      </c>
      <c r="B479" s="9" t="s">
        <v>1033</v>
      </c>
      <c r="C479" s="9" t="s">
        <v>1034</v>
      </c>
      <c r="D479" s="9" t="s">
        <v>1679</v>
      </c>
      <c r="E479" s="9" t="s">
        <v>2</v>
      </c>
      <c r="F479" s="9">
        <v>949792659</v>
      </c>
      <c r="G479" s="12">
        <v>71440787</v>
      </c>
      <c r="H479" s="9" t="s">
        <v>1722</v>
      </c>
      <c r="I479" t="str">
        <f t="shared" si="7"/>
        <v>('ATUNCAR ALMEYDA DIEGO ALFONSO','UR. PAGO DE PILPATOMA DE GONZALES MZ. SN LT. 2-1 - SUNAMPE - CHINCHA','SUNAMPE','ZONA: SUNAMPE – SAN IGNACIO','949792659','71440787','F1'),</v>
      </c>
    </row>
    <row r="480" spans="1:9">
      <c r="A480" s="2">
        <v>572</v>
      </c>
      <c r="B480" s="9" t="s">
        <v>1218</v>
      </c>
      <c r="C480" s="9" t="s">
        <v>1219</v>
      </c>
      <c r="D480" s="9" t="s">
        <v>1679</v>
      </c>
      <c r="E480" s="9" t="s">
        <v>106</v>
      </c>
      <c r="F480" s="9" t="s">
        <v>1220</v>
      </c>
      <c r="G480" s="12">
        <v>71447384</v>
      </c>
      <c r="H480" s="9" t="s">
        <v>1722</v>
      </c>
      <c r="I480" t="str">
        <f t="shared" si="7"/>
        <v>('BOGA MESIAS JAIR FRANCISCO','AA. HH. EL MILAGRO SAN JUDAS TADEO - MZ C LOTE 06 - MINA DE ORO - SUNAMPE','SUNAMPE','ZONA: SUNAMPE - MINA DE ORO','986 178 947','71447384','F1'),</v>
      </c>
    </row>
    <row r="481" spans="1:9">
      <c r="A481" s="2">
        <v>573</v>
      </c>
      <c r="B481" s="9" t="s">
        <v>930</v>
      </c>
      <c r="C481" s="9" t="s">
        <v>931</v>
      </c>
      <c r="D481" s="9" t="s">
        <v>1679</v>
      </c>
      <c r="E481" s="9" t="s">
        <v>22</v>
      </c>
      <c r="F481" s="9" t="s">
        <v>932</v>
      </c>
      <c r="G481" s="12">
        <v>71460150</v>
      </c>
      <c r="H481" s="9" t="s">
        <v>1722</v>
      </c>
      <c r="I481" t="str">
        <f t="shared" si="7"/>
        <v>('ALBINO YATACO JERSON ALEXANDER','CL. SAN VICENTE FERRER, PUERTA B - CERCADO GROCIO PRADO','SUNAMPE','ZONA: SUNAMPE – SAN PILPA','929 784 592','71460150','F1'),</v>
      </c>
    </row>
    <row r="482" spans="1:9">
      <c r="A482" s="2">
        <v>574</v>
      </c>
      <c r="B482" s="9" t="s">
        <v>313</v>
      </c>
      <c r="C482" s="9" t="s">
        <v>314</v>
      </c>
      <c r="D482" s="9" t="s">
        <v>1679</v>
      </c>
      <c r="E482" s="9" t="s">
        <v>22</v>
      </c>
      <c r="F482" s="9">
        <v>972054970</v>
      </c>
      <c r="G482" s="12">
        <v>71460153</v>
      </c>
      <c r="H482" s="9" t="s">
        <v>1722</v>
      </c>
      <c r="I482" t="str">
        <f t="shared" si="7"/>
        <v>('CARBAJAL TORRES MARTHA ELIZABETH','San pedro de pilpa, psj. San blas','SUNAMPE','ZONA: SUNAMPE – SAN PILPA','972054970','71460153','F1'),</v>
      </c>
    </row>
    <row r="483" spans="1:9">
      <c r="A483" s="2">
        <v>575</v>
      </c>
      <c r="B483" s="9" t="s">
        <v>1698</v>
      </c>
      <c r="C483" s="9" t="s">
        <v>1602</v>
      </c>
      <c r="D483" s="9" t="s">
        <v>1680</v>
      </c>
      <c r="E483" s="9" t="s">
        <v>1594</v>
      </c>
      <c r="F483" s="9">
        <v>930581819</v>
      </c>
      <c r="G483" s="12">
        <v>71472263</v>
      </c>
      <c r="H483" s="9" t="s">
        <v>1722</v>
      </c>
      <c r="I483" t="str">
        <f t="shared" si="7"/>
        <v>('ACHARTE MOREYRA YOSELIN ALICIA ','Calle colon tercera cuadra chincha','CHINCHA ALTA','Zona: Chincha','930581819','71472263','F1'),</v>
      </c>
    </row>
    <row r="484" spans="1:9">
      <c r="A484" s="2">
        <v>578</v>
      </c>
      <c r="B484" s="9" t="s">
        <v>268</v>
      </c>
      <c r="C484" s="9" t="s">
        <v>269</v>
      </c>
      <c r="D484" s="9" t="s">
        <v>1679</v>
      </c>
      <c r="E484" s="9" t="s">
        <v>5</v>
      </c>
      <c r="F484" s="9">
        <v>938185031</v>
      </c>
      <c r="G484" s="12">
        <v>71539460</v>
      </c>
      <c r="H484" s="9" t="s">
        <v>1722</v>
      </c>
      <c r="I484" t="str">
        <f t="shared" si="7"/>
        <v>('CANTO PACHAS DANIELA ELIZABETH','Paso de Gomez 115 - Sunampe','SUNAMPE','ZONA: SUNAMPE – SANTA ROSA','938185031','71539460','F1'),</v>
      </c>
    </row>
    <row r="485" spans="1:9">
      <c r="A485" s="2">
        <v>579</v>
      </c>
      <c r="B485" s="9" t="s">
        <v>551</v>
      </c>
      <c r="C485" s="9" t="s">
        <v>552</v>
      </c>
      <c r="D485" s="9" t="s">
        <v>1679</v>
      </c>
      <c r="E485" s="9" t="s">
        <v>22</v>
      </c>
      <c r="F485" s="9">
        <v>933866327</v>
      </c>
      <c r="G485" s="12">
        <v>71572853</v>
      </c>
      <c r="H485" s="9" t="s">
        <v>1722</v>
      </c>
      <c r="I485" t="str">
        <f t="shared" si="7"/>
        <v>('SIFUENTES CRISOSTOMO MARYORI DARLIN','Santo Toribio #120 - Sunampe Ref: para atrás de pilpa','SUNAMPE','ZONA: SUNAMPE – SAN PILPA','933866327','71572853','F1'),</v>
      </c>
    </row>
    <row r="486" spans="1:9">
      <c r="A486" s="2">
        <v>580</v>
      </c>
      <c r="B486" s="9" t="s">
        <v>519</v>
      </c>
      <c r="C486" s="9" t="s">
        <v>520</v>
      </c>
      <c r="D486" s="9" t="s">
        <v>1679</v>
      </c>
      <c r="E486" s="9" t="s">
        <v>135</v>
      </c>
      <c r="F486" s="9">
        <v>970555978</v>
      </c>
      <c r="G486" s="12">
        <v>71592530</v>
      </c>
      <c r="H486" s="9" t="s">
        <v>1733</v>
      </c>
      <c r="I486" t="str">
        <f t="shared" si="7"/>
        <v>('HUAMAN TASAYCO ANGEL GIOMAR','AV. FATIMA LT. 19 - SUNAMPE','SUNAMPE','ZONA: SUNAMPE – HUACA GRANDE','970555978','71592530','F2'),</v>
      </c>
    </row>
    <row r="487" spans="1:9">
      <c r="A487" s="2">
        <v>581</v>
      </c>
      <c r="B487" s="9" t="s">
        <v>733</v>
      </c>
      <c r="C487" s="9" t="s">
        <v>734</v>
      </c>
      <c r="D487" s="9" t="s">
        <v>1679</v>
      </c>
      <c r="E487" s="9" t="s">
        <v>22</v>
      </c>
      <c r="F487" s="9">
        <v>935266044</v>
      </c>
      <c r="G487" s="12">
        <v>71605480</v>
      </c>
      <c r="H487" s="9" t="s">
        <v>1722</v>
      </c>
      <c r="I487" t="str">
        <f t="shared" si="7"/>
        <v>('CORDOVA DE LA CRUZ JUNIOR GIANCARLOS','AV. SAN RAFAEL S/N - GROCIO PRADO','SUNAMPE','ZONA: SUNAMPE – SAN PILPA','935266044','71605480','F1'),</v>
      </c>
    </row>
    <row r="488" spans="1:9">
      <c r="A488" s="2">
        <v>582</v>
      </c>
      <c r="B488" s="9" t="s">
        <v>819</v>
      </c>
      <c r="C488" s="9" t="s">
        <v>820</v>
      </c>
      <c r="D488" s="9" t="s">
        <v>1679</v>
      </c>
      <c r="E488" s="9" t="s">
        <v>230</v>
      </c>
      <c r="F488" s="9" t="s">
        <v>821</v>
      </c>
      <c r="G488" s="12">
        <v>71615898</v>
      </c>
      <c r="H488" s="9" t="s">
        <v>1722</v>
      </c>
      <c r="I488" t="str">
        <f t="shared" si="7"/>
        <v>('ALMEYDA TORRES NICOLL DAYANNA','CALLE TUPAC AMARU N340 - SUNAMPE','SUNAMPE','ZONA: SUNAMPE – SIMON','955 336 277','71615898','F1'),</v>
      </c>
    </row>
    <row r="489" spans="1:9">
      <c r="A489" s="2">
        <v>583</v>
      </c>
      <c r="B489" s="9" t="s">
        <v>143</v>
      </c>
      <c r="C489" s="9" t="s">
        <v>144</v>
      </c>
      <c r="D489" s="9" t="s">
        <v>1679</v>
      </c>
      <c r="E489" s="9" t="s">
        <v>36</v>
      </c>
      <c r="F489" s="9">
        <v>977537270</v>
      </c>
      <c r="G489" s="12">
        <v>71616237</v>
      </c>
      <c r="H489" s="9" t="s">
        <v>1722</v>
      </c>
      <c r="I489" t="str">
        <f t="shared" si="7"/>
        <v>('SARAVIA MEDINA LUIS','AV. LOS ANGELES Nª 512 - LOMO LARGO - SUNAMPE','SUNAMPE','ZONA: SUNAMPE – PARAISO','977537270','71616237','F1'),</v>
      </c>
    </row>
    <row r="490" spans="1:9">
      <c r="A490" s="2">
        <v>584</v>
      </c>
      <c r="B490" s="9" t="s">
        <v>361</v>
      </c>
      <c r="C490" s="9" t="s">
        <v>362</v>
      </c>
      <c r="D490" s="9" t="s">
        <v>1679</v>
      </c>
      <c r="E490" s="9" t="s">
        <v>22</v>
      </c>
      <c r="F490" s="9">
        <v>955127262</v>
      </c>
      <c r="G490" s="12">
        <v>71616251</v>
      </c>
      <c r="H490" s="9" t="s">
        <v>1722</v>
      </c>
      <c r="I490" t="str">
        <f t="shared" si="7"/>
        <v>('CRISOSTOMO LEVANO PEDRO MANUEL','CALLE LOS ANGELES S/N, LOMO LARGO - SUNAMPE','SUNAMPE','ZONA: SUNAMPE – SAN PILPA','955127262','71616251','F1'),</v>
      </c>
    </row>
    <row r="491" spans="1:9">
      <c r="A491" s="2">
        <v>585</v>
      </c>
      <c r="B491" s="9" t="s">
        <v>790</v>
      </c>
      <c r="C491" s="9" t="s">
        <v>791</v>
      </c>
      <c r="D491" s="9" t="s">
        <v>1679</v>
      </c>
      <c r="E491" s="9" t="s">
        <v>596</v>
      </c>
      <c r="F491" s="9">
        <v>966116387</v>
      </c>
      <c r="G491" s="12">
        <v>71652939</v>
      </c>
      <c r="H491" s="9" t="s">
        <v>1722</v>
      </c>
      <c r="I491" t="str">
        <f t="shared" si="7"/>
        <v>('LEVANO ALMEYDA GIANELLA ANGELINA','AV. SANTA ROSA S/N - SUNAMPE ( Referencia frente al estadio sunampe)','SUNAMPE','ZONA: SUNAMPE – CALLE LIMA','966116387','71652939','F1'),</v>
      </c>
    </row>
    <row r="492" spans="1:9">
      <c r="A492" s="2">
        <v>586</v>
      </c>
      <c r="B492" s="9" t="s">
        <v>169</v>
      </c>
      <c r="C492" s="9" t="s">
        <v>170</v>
      </c>
      <c r="D492" s="9" t="s">
        <v>1680</v>
      </c>
      <c r="E492" s="9" t="s">
        <v>126</v>
      </c>
      <c r="F492" s="9">
        <v>923144872</v>
      </c>
      <c r="G492" s="12">
        <v>71717330</v>
      </c>
      <c r="H492" s="9" t="s">
        <v>1722</v>
      </c>
      <c r="I492" t="str">
        <f t="shared" si="7"/>
        <v>('CURACA CUSIPUMA MANUEL ENRIQUE','Virgen del carmen mz lote 11 Cruz Blanca','CHINCHA ALTA','ZONA: CRUZ BLANCA VIRGEN CARMEN','923144872','71717330','F1'),</v>
      </c>
    </row>
    <row r="493" spans="1:9">
      <c r="A493" s="2">
        <v>587</v>
      </c>
      <c r="B493" s="9" t="s">
        <v>770</v>
      </c>
      <c r="C493" s="9" t="s">
        <v>771</v>
      </c>
      <c r="D493" s="9" t="s">
        <v>1679</v>
      </c>
      <c r="E493" s="9" t="s">
        <v>22</v>
      </c>
      <c r="F493" s="9">
        <v>956782898</v>
      </c>
      <c r="G493" s="12">
        <v>71787045</v>
      </c>
      <c r="H493" s="9" t="s">
        <v>1722</v>
      </c>
      <c r="I493" t="str">
        <f t="shared" si="7"/>
        <v>('MEDRANO SALDAÑA MARIA DEL CARMEN','AV. LA ALAMEDA Nº215 - SUNAMPE','SUNAMPE','ZONA: SUNAMPE – SAN PILPA','956782898','71787045','F1'),</v>
      </c>
    </row>
    <row r="494" spans="1:9">
      <c r="A494" s="2">
        <v>588</v>
      </c>
      <c r="B494" s="9" t="s">
        <v>1066</v>
      </c>
      <c r="C494" s="9" t="s">
        <v>1067</v>
      </c>
      <c r="D494" s="9" t="s">
        <v>1679</v>
      </c>
      <c r="E494" s="9" t="s">
        <v>718</v>
      </c>
      <c r="F494" s="9" t="s">
        <v>1068</v>
      </c>
      <c r="G494" s="12">
        <v>71789730</v>
      </c>
      <c r="H494" s="9" t="s">
        <v>1722</v>
      </c>
      <c r="I494" t="str">
        <f t="shared" si="7"/>
        <v>('CUADROS SARAVIA DIANA CAROLINA','PSJ. ANAMPA N° 160 - SUNAMPE','SUNAMPE','ZONA: SUNAMPE – CHACARITA','927 744 936','71789730','F1'),</v>
      </c>
    </row>
    <row r="495" spans="1:9">
      <c r="A495" s="2">
        <v>589</v>
      </c>
      <c r="B495" s="9" t="s">
        <v>1425</v>
      </c>
      <c r="C495" s="9" t="s">
        <v>1426</v>
      </c>
      <c r="D495" s="9" t="s">
        <v>1682</v>
      </c>
      <c r="E495" s="9" t="s">
        <v>1106</v>
      </c>
      <c r="F495" s="9">
        <v>912946029</v>
      </c>
      <c r="G495" s="12">
        <v>71817001</v>
      </c>
      <c r="H495" s="9" t="s">
        <v>1722</v>
      </c>
      <c r="I495" t="str">
        <f t="shared" si="7"/>
        <v>('RAUL DAVID HUAYTA HUILLCA','CL. ANDRES RAZURI N°681 - CERCADO DE CHINCHA ALTA - CHINCHA ALTA','PUEBLO NUEVO','ZONA: PUEBLO - TECHO PROPIO','912946029','71817001','F1'),</v>
      </c>
    </row>
    <row r="496" spans="1:9">
      <c r="A496" s="2">
        <v>590</v>
      </c>
      <c r="B496" s="9" t="s">
        <v>1325</v>
      </c>
      <c r="C496" s="9" t="s">
        <v>1326</v>
      </c>
      <c r="D496" s="9" t="s">
        <v>1679</v>
      </c>
      <c r="E496" s="9" t="s">
        <v>5</v>
      </c>
      <c r="F496" s="9" t="s">
        <v>1327</v>
      </c>
      <c r="G496" s="12">
        <v>71817032</v>
      </c>
      <c r="H496" s="9" t="s">
        <v>1722</v>
      </c>
      <c r="I496" t="str">
        <f t="shared" si="7"/>
        <v>('VASQUEZ LUY JON ANGELO FERNANDO','AV. LA ALAMEDA S/N - SUNAMPE','SUNAMPE','ZONA: SUNAMPE – SANTA ROSA','929 983 460','71817032','F1'),</v>
      </c>
    </row>
    <row r="497" spans="1:9">
      <c r="A497" s="2">
        <v>592</v>
      </c>
      <c r="B497" s="9" t="s">
        <v>1489</v>
      </c>
      <c r="C497" s="9" t="s">
        <v>1490</v>
      </c>
      <c r="D497" s="9" t="s">
        <v>1680</v>
      </c>
      <c r="E497" s="9" t="s">
        <v>710</v>
      </c>
      <c r="F497" s="9">
        <v>960729102</v>
      </c>
      <c r="G497" s="12">
        <v>71883044</v>
      </c>
      <c r="H497" s="9" t="s">
        <v>1722</v>
      </c>
      <c r="I497" t="str">
        <f t="shared" si="7"/>
        <v>('MARYORI NICOL CASTILLA MAGALLANES','CL DOS PUENTES Nro. Puerta 128 02 Cercado Chincha Alta CHINCHA ALTA','CHINCHA ALTA','ZONA: CHINCHA - AMERICA','960729102','71883044','F1'),</v>
      </c>
    </row>
    <row r="498" spans="1:9">
      <c r="A498" s="2">
        <v>595</v>
      </c>
      <c r="B498" s="9" t="s">
        <v>1145</v>
      </c>
      <c r="C498" s="9" t="s">
        <v>1146</v>
      </c>
      <c r="D498" s="9" t="s">
        <v>1679</v>
      </c>
      <c r="E498" s="9" t="s">
        <v>36</v>
      </c>
      <c r="F498" s="9">
        <v>930197086</v>
      </c>
      <c r="G498" s="12">
        <v>72082086</v>
      </c>
      <c r="H498" s="9" t="s">
        <v>1722</v>
      </c>
      <c r="I498" t="str">
        <f t="shared" si="7"/>
        <v>('LOBO MENESES LUIS ALFONSO','PSJ. LA FRONTERA Nª 257 - C.P. LOMO LARGO - SUNAMPE','SUNAMPE','ZONA: SUNAMPE – PARAISO','930197086','72082086','F1'),</v>
      </c>
    </row>
    <row r="499" spans="1:9">
      <c r="A499" s="2">
        <v>596</v>
      </c>
      <c r="B499" s="9" t="s">
        <v>264</v>
      </c>
      <c r="C499" s="9" t="s">
        <v>265</v>
      </c>
      <c r="D499" s="9" t="s">
        <v>1679</v>
      </c>
      <c r="E499" s="9" t="s">
        <v>5</v>
      </c>
      <c r="F499" s="9">
        <v>977704097</v>
      </c>
      <c r="G499" s="12">
        <v>72350287</v>
      </c>
      <c r="H499" s="9" t="s">
        <v>1722</v>
      </c>
      <c r="I499" t="str">
        <f t="shared" si="7"/>
        <v>('PEÑA MORAN EDSON JAIR','Calle Paso de Gomez 106.01','SUNAMPE','ZONA: SUNAMPE – SANTA ROSA','977704097','72350287','F1'),</v>
      </c>
    </row>
    <row r="500" spans="1:9">
      <c r="A500" s="2">
        <v>599</v>
      </c>
      <c r="B500" s="9" t="s">
        <v>335</v>
      </c>
      <c r="C500" s="9" t="s">
        <v>336</v>
      </c>
      <c r="D500" s="9" t="s">
        <v>1680</v>
      </c>
      <c r="E500" s="9" t="s">
        <v>19</v>
      </c>
      <c r="F500" s="9" t="s">
        <v>337</v>
      </c>
      <c r="G500" s="12">
        <v>72485056</v>
      </c>
      <c r="H500" s="9" t="s">
        <v>1722</v>
      </c>
      <c r="I500" t="str">
        <f t="shared" si="7"/>
        <v>('CARMEN DEL ROSARIO MARTINEZ DE LA CRUZ','Cruz Blanca S/N','CHINCHA ALTA','ZONA: CRUZ BLANCA PARTE ALTA oruro','933 826 012','72485056','F1'),</v>
      </c>
    </row>
    <row r="501" spans="1:9">
      <c r="A501" s="2">
        <v>600</v>
      </c>
      <c r="B501" s="9" t="s">
        <v>919</v>
      </c>
      <c r="C501" s="9" t="s">
        <v>920</v>
      </c>
      <c r="D501" s="9" t="s">
        <v>1679</v>
      </c>
      <c r="E501" s="9" t="s">
        <v>596</v>
      </c>
      <c r="F501" s="9">
        <v>924594304</v>
      </c>
      <c r="G501" s="12">
        <v>72517098</v>
      </c>
      <c r="H501" s="9" t="s">
        <v>1722</v>
      </c>
      <c r="I501" t="str">
        <f t="shared" si="7"/>
        <v>('PASTOR ROJAS PATRICIA DEL  PILAR','AV. SANTA ROSA N° 312 - C.P. LOMO LARGO - SUNAMPE','SUNAMPE','ZONA: SUNAMPE – CALLE LIMA','924594304','72517098','F1'),</v>
      </c>
    </row>
    <row r="502" spans="1:9">
      <c r="A502" s="2">
        <v>602</v>
      </c>
      <c r="B502" s="9" t="s">
        <v>475</v>
      </c>
      <c r="C502" s="9" t="s">
        <v>476</v>
      </c>
      <c r="D502" s="9" t="s">
        <v>1680</v>
      </c>
      <c r="E502" s="9" t="s">
        <v>90</v>
      </c>
      <c r="F502" s="9">
        <v>977892159</v>
      </c>
      <c r="G502" s="12">
        <v>72628484</v>
      </c>
      <c r="H502" s="9" t="s">
        <v>1722</v>
      </c>
      <c r="I502" t="str">
        <f t="shared" si="7"/>
        <v>('NAVARRETE QUISPE LUZ ELENA','Centro poblado condorillo alto, m z lt 7','CHINCHA ALTA','ZONA: CONDORILLO PARTE ALTA','977892159','72628484','F1'),</v>
      </c>
    </row>
    <row r="503" spans="1:9">
      <c r="A503" s="2">
        <v>605</v>
      </c>
      <c r="B503" s="9" t="s">
        <v>1628</v>
      </c>
      <c r="C503" s="9" t="s">
        <v>1629</v>
      </c>
      <c r="D503" s="9" t="s">
        <v>1683</v>
      </c>
      <c r="E503" s="9" t="s">
        <v>1622</v>
      </c>
      <c r="F503" s="9">
        <v>944049975</v>
      </c>
      <c r="G503" s="12">
        <v>72757929</v>
      </c>
      <c r="H503" s="9" t="s">
        <v>1722</v>
      </c>
      <c r="I503" t="str">
        <f t="shared" si="7"/>
        <v>('MEDINA PINTO ROSSMERY','cruz verde calle Andrés Avelino ceceres 240','TAMBO DE MORA','Zona: Tambo de Mora 2','944049975','72757929','F1'),</v>
      </c>
    </row>
    <row r="504" spans="1:9">
      <c r="A504" s="2">
        <v>606</v>
      </c>
      <c r="B504" s="9" t="s">
        <v>86</v>
      </c>
      <c r="C504" s="9" t="s">
        <v>87</v>
      </c>
      <c r="D504" s="9" t="s">
        <v>1679</v>
      </c>
      <c r="E504" s="9" t="s">
        <v>5</v>
      </c>
      <c r="F504" s="9">
        <v>915384222</v>
      </c>
      <c r="G504" s="12">
        <v>72761675</v>
      </c>
      <c r="H504" s="9" t="s">
        <v>1722</v>
      </c>
      <c r="I504" t="str">
        <f t="shared" si="7"/>
        <v>('YATACO LEVANO JOSE LUIS','Comite Alameda G.B. 232 - Sunampe','SUNAMPE','ZONA: SUNAMPE – SANTA ROSA','915384222','72761675','F1'),</v>
      </c>
    </row>
    <row r="505" spans="1:9">
      <c r="A505" s="2">
        <v>607</v>
      </c>
      <c r="B505" s="9" t="s">
        <v>615</v>
      </c>
      <c r="C505" s="9" t="s">
        <v>616</v>
      </c>
      <c r="D505" s="9" t="s">
        <v>1680</v>
      </c>
      <c r="E505" s="9" t="s">
        <v>27</v>
      </c>
      <c r="F505" s="9">
        <v>935553369</v>
      </c>
      <c r="G505" s="12">
        <v>72784530</v>
      </c>
      <c r="H505" s="9" t="s">
        <v>1722</v>
      </c>
      <c r="I505" t="str">
        <f t="shared" si="7"/>
        <v>('VASQUEZ VELASQUEZ ALEXANDRA LISSETH','C.P. CONDORILLO ALTO MZ R LT 10 - CHINCHA','CHINCHA ALTA','ZONA: CRUZ BLANCA PARTE BAJA','935553369','72784530','F1'),</v>
      </c>
    </row>
    <row r="506" spans="1:9">
      <c r="A506" s="2">
        <v>608</v>
      </c>
      <c r="B506" s="9" t="s">
        <v>131</v>
      </c>
      <c r="C506" s="9" t="s">
        <v>132</v>
      </c>
      <c r="D506" s="9" t="s">
        <v>1679</v>
      </c>
      <c r="E506" s="9" t="s">
        <v>5</v>
      </c>
      <c r="F506" s="9">
        <v>936357730</v>
      </c>
      <c r="G506" s="12">
        <v>72801045</v>
      </c>
      <c r="H506" s="9" t="s">
        <v>1722</v>
      </c>
      <c r="I506" t="str">
        <f t="shared" si="7"/>
        <v>('BONIFACIO QUISPE EVER PABLO','AV. La alameda s/n Sunampe','SUNAMPE','ZONA: SUNAMPE – SANTA ROSA','936357730','72801045','F1'),</v>
      </c>
    </row>
    <row r="507" spans="1:9">
      <c r="A507" s="2">
        <v>609</v>
      </c>
      <c r="B507" s="9" t="s">
        <v>700</v>
      </c>
      <c r="C507" s="9" t="s">
        <v>701</v>
      </c>
      <c r="D507" s="9" t="s">
        <v>1679</v>
      </c>
      <c r="E507" s="9" t="s">
        <v>22</v>
      </c>
      <c r="F507" s="9">
        <v>948658027</v>
      </c>
      <c r="G507" s="12">
        <v>72852730</v>
      </c>
      <c r="H507" s="9" t="s">
        <v>1722</v>
      </c>
      <c r="I507" t="str">
        <f t="shared" si="7"/>
        <v>('APOLAYA MARCOS PAMELA','PSJ ALMEYDA, LA ALAMEDA - SUNAMPE','SUNAMPE','ZONA: SUNAMPE – SAN PILPA','948658027','72852730','F1'),</v>
      </c>
    </row>
    <row r="508" spans="1:9">
      <c r="A508" s="2">
        <v>610</v>
      </c>
      <c r="B508" s="9" t="s">
        <v>869</v>
      </c>
      <c r="C508" s="9" t="s">
        <v>870</v>
      </c>
      <c r="D508" s="9" t="s">
        <v>1679</v>
      </c>
      <c r="E508" s="9" t="s">
        <v>230</v>
      </c>
      <c r="F508" s="9">
        <v>937253910</v>
      </c>
      <c r="G508" s="12">
        <v>72857031</v>
      </c>
      <c r="H508" s="9" t="s">
        <v>1722</v>
      </c>
      <c r="I508" t="str">
        <f t="shared" si="7"/>
        <v>('VASCONSUELOS NAPA DENILSON ADAMIR','PSJ. SAN NICOLAS N° 257 - C.P. MONTE RICO MZ. P LT. 05 - SUNAMPE','SUNAMPE','ZONA: SUNAMPE – SIMON','937253910','72857031','F1'),</v>
      </c>
    </row>
    <row r="509" spans="1:9">
      <c r="A509" s="2">
        <v>611</v>
      </c>
      <c r="B509" s="9" t="s">
        <v>683</v>
      </c>
      <c r="C509" s="9" t="s">
        <v>684</v>
      </c>
      <c r="D509" s="9" t="s">
        <v>1679</v>
      </c>
      <c r="E509" s="9" t="s">
        <v>22</v>
      </c>
      <c r="F509" s="9">
        <v>950162295</v>
      </c>
      <c r="G509" s="12">
        <v>72872536</v>
      </c>
      <c r="H509" s="9" t="s">
        <v>1722</v>
      </c>
      <c r="I509" t="str">
        <f t="shared" si="7"/>
        <v>('VALENCIA SARAVIA ELIZABETH','PSJ. SAN GREGORIO S/N, LA ALAMEDA  - SUNAMPE','SUNAMPE','ZONA: SUNAMPE – SAN PILPA','950162295','72872536','F1'),</v>
      </c>
    </row>
    <row r="510" spans="1:9">
      <c r="A510" s="2">
        <v>612</v>
      </c>
      <c r="B510" s="9" t="s">
        <v>767</v>
      </c>
      <c r="C510" s="9" t="s">
        <v>768</v>
      </c>
      <c r="D510" s="9" t="s">
        <v>1679</v>
      </c>
      <c r="E510" s="9" t="s">
        <v>106</v>
      </c>
      <c r="F510" s="9" t="s">
        <v>769</v>
      </c>
      <c r="G510" s="12">
        <v>72888104</v>
      </c>
      <c r="H510" s="9" t="s">
        <v>1722</v>
      </c>
      <c r="I510" t="str">
        <f t="shared" si="7"/>
        <v>('MAGALLANES OLIVERO JAVIER ENRIQUE','MINA DE ORO MZ B LT 01 - SUNAMPE','SUNAMPE','ZONA: SUNAMPE - MINA DE ORO','983 771 337','72888104','F1'),</v>
      </c>
    </row>
    <row r="511" spans="1:9">
      <c r="A511" s="2">
        <v>613</v>
      </c>
      <c r="B511" s="9" t="s">
        <v>530</v>
      </c>
      <c r="C511" s="9" t="s">
        <v>531</v>
      </c>
      <c r="D511" s="9" t="s">
        <v>1679</v>
      </c>
      <c r="E511" s="9" t="s">
        <v>5</v>
      </c>
      <c r="F511" s="9">
        <v>900773704</v>
      </c>
      <c r="G511" s="12">
        <v>72919856</v>
      </c>
      <c r="H511" s="9" t="s">
        <v>1722</v>
      </c>
      <c r="I511" t="str">
        <f t="shared" si="7"/>
        <v>('TASAYCO HERNANDEZ JESSICA FABIOLA','Av. alameda 232 - Sunampe','SUNAMPE','ZONA: SUNAMPE – SANTA ROSA','900773704','72919856','F1'),</v>
      </c>
    </row>
    <row r="512" spans="1:9">
      <c r="A512" s="2">
        <v>614</v>
      </c>
      <c r="B512" s="9" t="s">
        <v>1691</v>
      </c>
      <c r="C512" s="9" t="s">
        <v>1082</v>
      </c>
      <c r="D512" s="9" t="s">
        <v>1680</v>
      </c>
      <c r="E512" s="9" t="s">
        <v>710</v>
      </c>
      <c r="F512" s="9">
        <v>904587978</v>
      </c>
      <c r="G512" s="12">
        <v>72977459</v>
      </c>
      <c r="H512" s="9" t="s">
        <v>1722</v>
      </c>
      <c r="I512" t="str">
        <f t="shared" si="7"/>
        <v>('AVILES GUZMAN SERGIO JHOSSUA','UPIS 15 DE NOVIEMBRE / JOSE OLAYA B 13 - DOS PUENTES','CHINCHA ALTA','ZONA: CHINCHA - AMERICA','904587978','72977459','F1'),</v>
      </c>
    </row>
    <row r="513" spans="1:9">
      <c r="A513" s="2">
        <v>615</v>
      </c>
      <c r="B513" s="9" t="s">
        <v>926</v>
      </c>
      <c r="C513" s="9" t="s">
        <v>927</v>
      </c>
      <c r="D513" s="9" t="s">
        <v>1679</v>
      </c>
      <c r="E513" s="9" t="s">
        <v>718</v>
      </c>
      <c r="F513" s="9">
        <v>986233200</v>
      </c>
      <c r="G513" s="12">
        <v>73102201</v>
      </c>
      <c r="H513" s="9" t="s">
        <v>1722</v>
      </c>
      <c r="I513" t="str">
        <f t="shared" si="7"/>
        <v>('ROSAS LAY KEVIN','AV. SAN MARTIN N°599, MINA DE ORO - SUNAMPE','SUNAMPE','ZONA: SUNAMPE – CHACARITA','986233200','73102201','F1'),</v>
      </c>
    </row>
    <row r="514" spans="1:9">
      <c r="A514" s="2">
        <v>616</v>
      </c>
      <c r="B514" s="9" t="s">
        <v>641</v>
      </c>
      <c r="C514" s="9" t="s">
        <v>642</v>
      </c>
      <c r="D514" s="9" t="s">
        <v>1679</v>
      </c>
      <c r="E514" s="9" t="s">
        <v>22</v>
      </c>
      <c r="F514" s="9">
        <v>931220798</v>
      </c>
      <c r="G514" s="12">
        <v>73146866</v>
      </c>
      <c r="H514" s="9" t="s">
        <v>1722</v>
      </c>
      <c r="I514" t="str">
        <f t="shared" si="7"/>
        <v>('ATUNCAR MENESES BRYAN ALEXANDER','Av. San Pedro de Pilpa - Sunampe','SUNAMPE','ZONA: SUNAMPE – SAN PILPA','931220798','73146866','F1'),</v>
      </c>
    </row>
    <row r="515" spans="1:9">
      <c r="A515" s="2">
        <v>618</v>
      </c>
      <c r="B515" s="9" t="s">
        <v>514</v>
      </c>
      <c r="C515" s="9" t="s">
        <v>515</v>
      </c>
      <c r="D515" s="9" t="s">
        <v>1679</v>
      </c>
      <c r="E515" s="9" t="s">
        <v>36</v>
      </c>
      <c r="F515" s="9">
        <v>944209364</v>
      </c>
      <c r="G515" s="12">
        <v>73195681</v>
      </c>
      <c r="H515" s="9" t="s">
        <v>1722</v>
      </c>
      <c r="I515" t="str">
        <f t="shared" ref="I515:I578" si="8">"('"&amp;B515&amp;"','"&amp;C515&amp;"','"&amp;D515&amp;"','"&amp;E515&amp;"','"&amp;F515&amp;"','"&amp;G515&amp;"','"&amp;H515&amp;"'),"</f>
        <v>('TORRES ATUNCAR FRANK LUIS','Av. Paraiso 29 - lomo largo - sunampe','SUNAMPE','ZONA: SUNAMPE – PARAISO','944209364','73195681','F1'),</v>
      </c>
    </row>
    <row r="516" spans="1:9">
      <c r="A516" s="2">
        <v>620</v>
      </c>
      <c r="B516" s="9" t="s">
        <v>297</v>
      </c>
      <c r="C516" s="9" t="s">
        <v>298</v>
      </c>
      <c r="D516" s="9" t="s">
        <v>1680</v>
      </c>
      <c r="E516" s="9" t="s">
        <v>19</v>
      </c>
      <c r="F516" s="9" t="s">
        <v>299</v>
      </c>
      <c r="G516" s="12">
        <v>73208845</v>
      </c>
      <c r="H516" s="9" t="s">
        <v>1722</v>
      </c>
      <c r="I516" t="str">
        <f t="shared" si="8"/>
        <v>('VILLA TASAYCO JEISON JOSE','Pasaje 2 de mayo - Cruz blanca','CHINCHA ALTA','ZONA: CRUZ BLANCA PARTE ALTA oruro','919 712 420','73208845','F1'),</v>
      </c>
    </row>
    <row r="517" spans="1:9">
      <c r="A517" s="2">
        <v>621</v>
      </c>
      <c r="B517" s="9" t="s">
        <v>914</v>
      </c>
      <c r="C517" s="9" t="s">
        <v>915</v>
      </c>
      <c r="D517" s="9" t="s">
        <v>1680</v>
      </c>
      <c r="E517" s="9" t="s">
        <v>90</v>
      </c>
      <c r="F517" s="9" t="s">
        <v>916</v>
      </c>
      <c r="G517" s="12">
        <v>73211691</v>
      </c>
      <c r="H517" s="9" t="s">
        <v>1722</v>
      </c>
      <c r="I517" t="str">
        <f t="shared" si="8"/>
        <v>('CHUQUISPUMA RAMOS BRYAN ANTHONY','C.P. CONDORILLO ALTO MZ. O LT. 04 - CHINCHA','CHINCHA ALTA','ZONA: CONDORILLO PARTE ALTA','961 760 002','73211691','F1'),</v>
      </c>
    </row>
    <row r="518" spans="1:9">
      <c r="A518" s="2">
        <v>622</v>
      </c>
      <c r="B518" s="9" t="s">
        <v>695</v>
      </c>
      <c r="C518" s="9" t="s">
        <v>696</v>
      </c>
      <c r="D518" s="9" t="s">
        <v>1679</v>
      </c>
      <c r="E518" s="9" t="s">
        <v>36</v>
      </c>
      <c r="F518" s="9" t="s">
        <v>697</v>
      </c>
      <c r="G518" s="12">
        <v>73261084</v>
      </c>
      <c r="H518" s="9" t="s">
        <v>1722</v>
      </c>
      <c r="I518" t="str">
        <f t="shared" si="8"/>
        <v>('GARCIA HERNANDEZ LEYLA CONSUELO','Pasaje la frontera 136 - lomo largo Ref: antes de la Scorpia','SUNAMPE','ZONA: SUNAMPE – PARAISO','972 159 681','73261084','F1'),</v>
      </c>
    </row>
    <row r="519" spans="1:9">
      <c r="A519" s="2">
        <v>623</v>
      </c>
      <c r="B519" s="9" t="s">
        <v>829</v>
      </c>
      <c r="C519" s="9" t="s">
        <v>830</v>
      </c>
      <c r="D519" s="9" t="s">
        <v>1679</v>
      </c>
      <c r="E519" s="9" t="s">
        <v>22</v>
      </c>
      <c r="F519" s="9" t="s">
        <v>831</v>
      </c>
      <c r="G519" s="12">
        <v>73262665</v>
      </c>
      <c r="H519" s="9" t="s">
        <v>1722</v>
      </c>
      <c r="I519" t="str">
        <f t="shared" si="8"/>
        <v>('CASTILLA YATACO MARIA ESTHEFANI','CALLE JOSE SANTOS CHOCANO N°146 - SAN PEDRO DE PILPA - SUNAMPE','SUNAMPE','ZONA: SUNAMPE – SAN PILPA','980 539 380','73262665','F1'),</v>
      </c>
    </row>
    <row r="520" spans="1:9">
      <c r="A520" s="2">
        <v>625</v>
      </c>
      <c r="B520" s="9" t="s">
        <v>1405</v>
      </c>
      <c r="C520" s="9" t="s">
        <v>1406</v>
      </c>
      <c r="D520" s="9" t="s">
        <v>1682</v>
      </c>
      <c r="E520" s="9" t="s">
        <v>1372</v>
      </c>
      <c r="F520" s="9">
        <v>994071850</v>
      </c>
      <c r="G520" s="12">
        <v>73391124</v>
      </c>
      <c r="H520" s="9" t="s">
        <v>1722</v>
      </c>
      <c r="I520" t="str">
        <f t="shared" si="8"/>
        <v>('IRMA SHELLY RAFAEL ASENCIOS','AA.HH. CIUDAD SATELITE MZ. C LT. 07 - PUEBLO NUEVO','PUEBLO NUEVO','ZONA: PUEBLO - SATELITE','994071850','73391124','F1'),</v>
      </c>
    </row>
    <row r="521" spans="1:9">
      <c r="A521" s="2">
        <v>626</v>
      </c>
      <c r="B521" s="9" t="s">
        <v>928</v>
      </c>
      <c r="C521" s="9" t="s">
        <v>929</v>
      </c>
      <c r="D521" s="9" t="s">
        <v>1679</v>
      </c>
      <c r="E521" s="9" t="s">
        <v>22</v>
      </c>
      <c r="F521" s="9">
        <v>923161067</v>
      </c>
      <c r="G521" s="12">
        <v>73424093</v>
      </c>
      <c r="H521" s="9" t="s">
        <v>1722</v>
      </c>
      <c r="I521" t="str">
        <f t="shared" si="8"/>
        <v>('SARAVIA MUNAYCO JORGE ARTURO','CALLE SAN JUAN N°143, SAN PEDRO DE PILPA - SUNAMPE','SUNAMPE','ZONA: SUNAMPE – SAN PILPA','923161067','73424093','F1'),</v>
      </c>
    </row>
    <row r="522" spans="1:9">
      <c r="A522" s="2">
        <v>627</v>
      </c>
      <c r="B522" s="9" t="s">
        <v>685</v>
      </c>
      <c r="C522" s="9" t="s">
        <v>686</v>
      </c>
      <c r="D522" s="9" t="s">
        <v>1679</v>
      </c>
      <c r="E522" s="9" t="s">
        <v>2</v>
      </c>
      <c r="F522" s="9">
        <v>984190711</v>
      </c>
      <c r="G522" s="12">
        <v>73438744</v>
      </c>
      <c r="H522" s="9" t="s">
        <v>1722</v>
      </c>
      <c r="I522" t="str">
        <f t="shared" si="8"/>
        <v>('ALMEYDA APOLAYA LUCERO JANET','CONDOMINIO SAN PABLO - SUNAMPE','SUNAMPE','ZONA: SUNAMPE – SAN IGNACIO','984190711','73438744','F1'),</v>
      </c>
    </row>
    <row r="523" spans="1:9">
      <c r="A523" s="2">
        <v>628</v>
      </c>
      <c r="B523" s="9" t="s">
        <v>218</v>
      </c>
      <c r="C523" s="9" t="s">
        <v>219</v>
      </c>
      <c r="D523" s="9" t="s">
        <v>1680</v>
      </c>
      <c r="E523" s="9" t="s">
        <v>126</v>
      </c>
      <c r="F523" s="9">
        <v>962496422</v>
      </c>
      <c r="G523" s="12">
        <v>73479221</v>
      </c>
      <c r="H523" s="9" t="s">
        <v>1722</v>
      </c>
      <c r="I523" t="str">
        <f t="shared" si="8"/>
        <v>('BONIFACIO BALLARTA SANDRA GIANELLA','AA.HH. VIRGEN DEL CARMEN MZ C - LT 07 - CRUZ BLANCA - CHINCHA','CHINCHA ALTA','ZONA: CRUZ BLANCA VIRGEN CARMEN','962496422','73479221','F1'),</v>
      </c>
    </row>
    <row r="524" spans="1:9">
      <c r="A524" s="2">
        <v>629</v>
      </c>
      <c r="B524" s="9" t="s">
        <v>1655</v>
      </c>
      <c r="C524" s="9" t="s">
        <v>1656</v>
      </c>
      <c r="D524" s="9" t="s">
        <v>1679</v>
      </c>
      <c r="E524" s="9" t="s">
        <v>1642</v>
      </c>
      <c r="F524" s="9">
        <v>949799352</v>
      </c>
      <c r="G524" s="12">
        <v>73503256</v>
      </c>
      <c r="H524" s="9" t="s">
        <v>1733</v>
      </c>
      <c r="I524" t="str">
        <f t="shared" si="8"/>
        <v>('DE LA CRUZ MUNAYCO ANLLY NOEMI','Psj moran s/n san Antonio sunampe','SUNAMPE','Zona: Sunampe','949799352','73503256','F2'),</v>
      </c>
    </row>
    <row r="525" spans="1:9">
      <c r="A525" s="2">
        <v>630</v>
      </c>
      <c r="B525" s="9" t="s">
        <v>1179</v>
      </c>
      <c r="C525" s="9" t="s">
        <v>1180</v>
      </c>
      <c r="D525" s="9" t="s">
        <v>1680</v>
      </c>
      <c r="E525" s="9" t="s">
        <v>19</v>
      </c>
      <c r="F525" s="9">
        <v>923116164</v>
      </c>
      <c r="G525" s="12">
        <v>73587616</v>
      </c>
      <c r="H525" s="9" t="s">
        <v>1722</v>
      </c>
      <c r="I525" t="str">
        <f t="shared" si="8"/>
        <v>('MAGALLANES MAGALLANES MIGUEL ANGEL','AV. LUIS ALVA MAURTUA N° 568-01 - CRUZ BLANCA - CHINCHA ALTA','CHINCHA ALTA','ZONA: CRUZ BLANCA PARTE ALTA oruro','923116164','73587616','F1'),</v>
      </c>
    </row>
    <row r="526" spans="1:9">
      <c r="A526" s="2">
        <v>631</v>
      </c>
      <c r="B526" s="9" t="s">
        <v>719</v>
      </c>
      <c r="C526" s="9" t="s">
        <v>720</v>
      </c>
      <c r="D526" s="9" t="s">
        <v>1679</v>
      </c>
      <c r="E526" s="9" t="s">
        <v>106</v>
      </c>
      <c r="F526" s="9">
        <v>951875925</v>
      </c>
      <c r="G526" s="12">
        <v>73648566</v>
      </c>
      <c r="H526" s="9" t="s">
        <v>1722</v>
      </c>
      <c r="I526" t="str">
        <f t="shared" si="8"/>
        <v>('CARBAJAL PACHAS FIORELLA RUBI','PSJ. PACHAS - MINA DE ORO - SUNAMPE','SUNAMPE','ZONA: SUNAMPE - MINA DE ORO','951875925','73648566','F1'),</v>
      </c>
    </row>
    <row r="527" spans="1:9">
      <c r="A527" s="2">
        <v>632</v>
      </c>
      <c r="B527" s="9" t="s">
        <v>1176</v>
      </c>
      <c r="C527" s="9" t="s">
        <v>1177</v>
      </c>
      <c r="D527" s="9" t="s">
        <v>1680</v>
      </c>
      <c r="E527" s="9" t="s">
        <v>19</v>
      </c>
      <c r="F527" s="9" t="s">
        <v>1178</v>
      </c>
      <c r="G527" s="12">
        <v>73753884</v>
      </c>
      <c r="H527" s="9" t="s">
        <v>1722</v>
      </c>
      <c r="I527" t="str">
        <f t="shared" si="8"/>
        <v>('NAPA ABREGU ANGEL DANIEL','AV. LUIS ALVA MAURTUA S/N (4TA CDRA) - CRUZ BLANCA - CHINCHA ALTA','CHINCHA ALTA','ZONA: CRUZ BLANCA PARTE ALTA oruro','966 557 234','73753884','F1'),</v>
      </c>
    </row>
    <row r="528" spans="1:9">
      <c r="A528" s="2">
        <v>633</v>
      </c>
      <c r="B528" s="9" t="s">
        <v>463</v>
      </c>
      <c r="C528" s="9" t="s">
        <v>464</v>
      </c>
      <c r="D528" s="9" t="s">
        <v>1679</v>
      </c>
      <c r="E528" s="9" t="s">
        <v>2</v>
      </c>
      <c r="F528" s="9">
        <v>918890415</v>
      </c>
      <c r="G528" s="12">
        <v>73753896</v>
      </c>
      <c r="H528" s="9" t="s">
        <v>1722</v>
      </c>
      <c r="I528" t="str">
        <f t="shared" si="8"/>
        <v>('PADILLA CASTILLA MONICA YASMIN','AV. SAN ANTONIO NRO. 396 - GUAYABO, REF. ANTES DE LA 2DA LOZA','SUNAMPE','ZONA: SUNAMPE – SAN IGNACIO','918890415','73753896','F1'),</v>
      </c>
    </row>
    <row r="529" spans="1:9">
      <c r="A529" s="2">
        <v>635</v>
      </c>
      <c r="B529" s="9" t="s">
        <v>283</v>
      </c>
      <c r="C529" s="9" t="s">
        <v>284</v>
      </c>
      <c r="D529" s="9" t="s">
        <v>1680</v>
      </c>
      <c r="E529" s="9" t="s">
        <v>19</v>
      </c>
      <c r="F529" s="9" t="s">
        <v>285</v>
      </c>
      <c r="G529" s="12">
        <v>73822413</v>
      </c>
      <c r="H529" s="9" t="s">
        <v>1722</v>
      </c>
      <c r="I529" t="str">
        <f t="shared" si="8"/>
        <v>('MARCOS MAGALLANES JESUS ALEXANDER','Av. Alva Maurtua, cruz blanca 760, ultimo paradero terminando la pista','CHINCHA ALTA','ZONA: CRUZ BLANCA PARTE ALTA oruro','957 238 058','73822413','F1'),</v>
      </c>
    </row>
    <row r="530" spans="1:9">
      <c r="A530" s="2">
        <v>636</v>
      </c>
      <c r="B530" s="9" t="s">
        <v>1588</v>
      </c>
      <c r="C530" s="9" t="s">
        <v>1589</v>
      </c>
      <c r="D530" s="9" t="s">
        <v>1682</v>
      </c>
      <c r="E530" s="9" t="s">
        <v>1582</v>
      </c>
      <c r="F530" s="9">
        <v>987140176</v>
      </c>
      <c r="G530" s="12">
        <v>73904016</v>
      </c>
      <c r="H530" s="9" t="s">
        <v>1722</v>
      </c>
      <c r="I530" t="str">
        <f t="shared" si="8"/>
        <v>('FLORES SANABRIA MEYBY ESPERANZA','Upis san agustin MZ L LOTE 12-Chincha Alta','PUEBLO NUEVO','Zona: Rosedal','987140176','73904016','F1'),</v>
      </c>
    </row>
    <row r="531" spans="1:9">
      <c r="A531" s="2">
        <v>637</v>
      </c>
      <c r="B531" s="9" t="s">
        <v>1494</v>
      </c>
      <c r="C531" s="9" t="s">
        <v>1495</v>
      </c>
      <c r="D531" s="9" t="s">
        <v>1682</v>
      </c>
      <c r="E531" s="9" t="s">
        <v>846</v>
      </c>
      <c r="F531" s="9">
        <v>981515239</v>
      </c>
      <c r="G531" s="12">
        <v>73972845</v>
      </c>
      <c r="H531" s="9" t="s">
        <v>1722</v>
      </c>
      <c r="I531" t="str">
        <f t="shared" si="8"/>
        <v>('CRISTIAN JOSE MANCILLA CAJA','EL SALVADOR mz. D lt. 06','PUEBLO NUEVO','ZONA: PUEBLO - SALVADOR','981515239','73972845','F1'),</v>
      </c>
    </row>
    <row r="532" spans="1:9">
      <c r="A532" s="2">
        <v>638</v>
      </c>
      <c r="B532" s="9" t="s">
        <v>992</v>
      </c>
      <c r="C532" s="9" t="s">
        <v>993</v>
      </c>
      <c r="D532" s="9" t="s">
        <v>1680</v>
      </c>
      <c r="E532" s="9" t="s">
        <v>710</v>
      </c>
      <c r="F532" s="9" t="s">
        <v>994</v>
      </c>
      <c r="G532" s="12">
        <v>74033840</v>
      </c>
      <c r="H532" s="9" t="s">
        <v>1722</v>
      </c>
      <c r="I532" t="str">
        <f t="shared" si="8"/>
        <v>('CALDERON NUÑEZ JHON MARCOS','AA.HH. VIRGEN DE FATIMA MZ B LT. 10 (AMERICA) - CHINCHA ALTA','CHINCHA ALTA','ZONA: CHINCHA - AMERICA','959 870 368','74033840','F1'),</v>
      </c>
    </row>
    <row r="533" spans="1:9">
      <c r="A533" s="2">
        <v>640</v>
      </c>
      <c r="B533" s="9" t="s">
        <v>374</v>
      </c>
      <c r="C533" s="9" t="s">
        <v>375</v>
      </c>
      <c r="D533" s="9" t="s">
        <v>1680</v>
      </c>
      <c r="E533" s="9" t="s">
        <v>99</v>
      </c>
      <c r="F533" s="9">
        <v>965220433</v>
      </c>
      <c r="G533" s="12">
        <v>74060377</v>
      </c>
      <c r="H533" s="9" t="s">
        <v>1722</v>
      </c>
      <c r="I533" t="str">
        <f t="shared" si="8"/>
        <v>('OSTIA MENDIGUETE LEONARDO','psj. santa rosa s/n virgen del carmen, la ultima caja','CHINCHA ALTA','ZONA: CRUZ BLANCA CAMPO','965220433','74060377','F1'),</v>
      </c>
    </row>
    <row r="534" spans="1:9">
      <c r="A534" s="2">
        <v>641</v>
      </c>
      <c r="B534" s="9" t="s">
        <v>231</v>
      </c>
      <c r="C534" s="9" t="s">
        <v>232</v>
      </c>
      <c r="D534" s="9" t="s">
        <v>1679</v>
      </c>
      <c r="E534" s="9" t="s">
        <v>2</v>
      </c>
      <c r="F534" s="9">
        <v>923289467</v>
      </c>
      <c r="G534" s="12">
        <v>74060396</v>
      </c>
      <c r="H534" s="9" t="s">
        <v>1722</v>
      </c>
      <c r="I534" t="str">
        <f t="shared" si="8"/>
        <v>('HUAMAN VILLA ALINA JANETH','San Ignacio  - Sunampe','SUNAMPE','ZONA: SUNAMPE – SAN IGNACIO','923289467','74060396','F1'),</v>
      </c>
    </row>
    <row r="535" spans="1:9">
      <c r="A535" s="2">
        <v>642</v>
      </c>
      <c r="B535" s="9" t="s">
        <v>502</v>
      </c>
      <c r="C535" s="9" t="s">
        <v>503</v>
      </c>
      <c r="D535" s="9" t="s">
        <v>1679</v>
      </c>
      <c r="E535" s="9" t="s">
        <v>22</v>
      </c>
      <c r="F535" s="9" t="s">
        <v>504</v>
      </c>
      <c r="G535" s="12">
        <v>74069744</v>
      </c>
      <c r="H535" s="9" t="s">
        <v>1722</v>
      </c>
      <c r="I535" t="str">
        <f t="shared" si="8"/>
        <v>('OCHOA ALMEYDA JOSE LUIS','San pedro de pilpa - Sunampe','SUNAMPE','ZONA: SUNAMPE – SAN PILPA','946 215 112','74069744','F1'),</v>
      </c>
    </row>
    <row r="536" spans="1:9">
      <c r="A536" s="2">
        <v>643</v>
      </c>
      <c r="B536" s="9" t="s">
        <v>812</v>
      </c>
      <c r="C536" s="9" t="s">
        <v>813</v>
      </c>
      <c r="D536" s="9" t="s">
        <v>1679</v>
      </c>
      <c r="E536" s="9" t="s">
        <v>71</v>
      </c>
      <c r="F536" s="9">
        <v>974341388</v>
      </c>
      <c r="G536" s="12">
        <v>74151769</v>
      </c>
      <c r="H536" s="9" t="s">
        <v>1722</v>
      </c>
      <c r="I536" t="str">
        <f t="shared" si="8"/>
        <v>('FELIX LEVANO EDWIN EDUARDO','AV. PRIMAVERA N710, C.P. LA VICTORIA - SUNAMPE','SUNAMPE','ZONA: SUNAMPE – SANTA FE','974341388','74151769','F1'),</v>
      </c>
    </row>
    <row r="537" spans="1:9">
      <c r="A537" s="2">
        <v>644</v>
      </c>
      <c r="B537" s="9" t="s">
        <v>624</v>
      </c>
      <c r="C537" s="9" t="s">
        <v>625</v>
      </c>
      <c r="D537" s="9" t="s">
        <v>1680</v>
      </c>
      <c r="E537" s="9" t="s">
        <v>126</v>
      </c>
      <c r="F537" s="9">
        <v>901790163</v>
      </c>
      <c r="G537" s="12">
        <v>74171164</v>
      </c>
      <c r="H537" s="9" t="s">
        <v>1722</v>
      </c>
      <c r="I537" t="str">
        <f t="shared" si="8"/>
        <v>('GUERRA MARTINEZ MARIA MILAGROS','Cruz blanca, toma de cala','CHINCHA ALTA','ZONA: CRUZ BLANCA VIRGEN CARMEN','901790163','74171164','F1'),</v>
      </c>
    </row>
    <row r="538" spans="1:9">
      <c r="A538" s="2">
        <v>646</v>
      </c>
      <c r="B538" s="9" t="s">
        <v>318</v>
      </c>
      <c r="C538" s="9" t="s">
        <v>319</v>
      </c>
      <c r="D538" s="9" t="s">
        <v>1679</v>
      </c>
      <c r="E538" s="9" t="s">
        <v>230</v>
      </c>
      <c r="F538" s="9">
        <v>960636093</v>
      </c>
      <c r="G538" s="12">
        <v>74417191</v>
      </c>
      <c r="H538" s="9" t="s">
        <v>1722</v>
      </c>
      <c r="I538" t="str">
        <f t="shared" si="8"/>
        <v>('PACHAS PASACHE KAREN JACKELINE','Calle jose pardo mz. V lt. 07 - Sunampe','SUNAMPE','ZONA: SUNAMPE – SIMON','960636093','74417191','F1'),</v>
      </c>
    </row>
    <row r="539" spans="1:9">
      <c r="A539" s="2">
        <v>648</v>
      </c>
      <c r="B539" s="9" t="s">
        <v>1437</v>
      </c>
      <c r="C539" s="9" t="s">
        <v>1438</v>
      </c>
      <c r="D539" s="9" t="s">
        <v>1682</v>
      </c>
      <c r="E539" s="9" t="s">
        <v>1372</v>
      </c>
      <c r="F539" s="9" t="s">
        <v>1439</v>
      </c>
      <c r="G539" s="12">
        <v>74561589</v>
      </c>
      <c r="H539" s="9" t="s">
        <v>1722</v>
      </c>
      <c r="I539" t="str">
        <f t="shared" si="8"/>
        <v>('EDINSON JOSEFT MUÑOZ CHIARA','AA.HH. CIUDAD SATELITE MZ. L - PUERTA 01 - PUEBLO NUEVO','PUEBLO NUEVO','ZONA: PUEBLO - SATELITE','971 720 162','74561589','F1'),</v>
      </c>
    </row>
    <row r="540" spans="1:9">
      <c r="A540" s="2">
        <v>649</v>
      </c>
      <c r="B540" s="9" t="s">
        <v>689</v>
      </c>
      <c r="C540" s="9" t="s">
        <v>690</v>
      </c>
      <c r="D540" s="9" t="s">
        <v>1679</v>
      </c>
      <c r="E540" s="9" t="s">
        <v>2</v>
      </c>
      <c r="F540" s="9">
        <v>993219508</v>
      </c>
      <c r="G540" s="12">
        <v>74624844</v>
      </c>
      <c r="H540" s="9" t="s">
        <v>1722</v>
      </c>
      <c r="I540" t="str">
        <f t="shared" si="8"/>
        <v>('TORRES ROMAN JUNIOR SMITH','AV. HUASCAR 130  A - SAN IGNACIO','SUNAMPE','ZONA: SUNAMPE – SAN IGNACIO','993219508','74624844','F1'),</v>
      </c>
    </row>
    <row r="541" spans="1:9">
      <c r="A541" s="2">
        <v>650</v>
      </c>
      <c r="B541" s="9" t="s">
        <v>844</v>
      </c>
      <c r="C541" s="9" t="s">
        <v>845</v>
      </c>
      <c r="D541" s="9" t="s">
        <v>1682</v>
      </c>
      <c r="E541" s="9" t="s">
        <v>846</v>
      </c>
      <c r="F541" s="9">
        <v>912405510</v>
      </c>
      <c r="G541" s="12">
        <v>74684828</v>
      </c>
      <c r="H541" s="9" t="s">
        <v>1722</v>
      </c>
      <c r="I541" t="str">
        <f t="shared" si="8"/>
        <v>('CUADROS ECHANDIA SEBASTIAN YAIR','URB. LEON DE VIVERO MZ. 17 LT 03 - PUEBLO NUEVO','PUEBLO NUEVO','ZONA: PUEBLO - SALVADOR','912405510','74684828','F1'),</v>
      </c>
    </row>
    <row r="542" spans="1:9">
      <c r="A542" s="2">
        <v>651</v>
      </c>
      <c r="B542" s="9" t="s">
        <v>837</v>
      </c>
      <c r="C542" s="9" t="s">
        <v>838</v>
      </c>
      <c r="D542" s="9" t="s">
        <v>1679</v>
      </c>
      <c r="E542" s="9" t="s">
        <v>718</v>
      </c>
      <c r="F542" s="9">
        <v>922306155</v>
      </c>
      <c r="G542" s="12">
        <v>74684837</v>
      </c>
      <c r="H542" s="9" t="s">
        <v>1722</v>
      </c>
      <c r="I542" t="str">
        <f t="shared" si="8"/>
        <v>('REQUEJO GUERRA JANNET','CALLE VICTOR RAUL HAYA DE LA TORRE - CHACARITA','SUNAMPE','ZONA: SUNAMPE – CHACARITA','922306155','74684837','F1'),</v>
      </c>
    </row>
    <row r="543" spans="1:9">
      <c r="A543" s="2">
        <v>652</v>
      </c>
      <c r="B543" s="9" t="s">
        <v>824</v>
      </c>
      <c r="C543" s="9" t="s">
        <v>825</v>
      </c>
      <c r="D543" s="9" t="s">
        <v>1679</v>
      </c>
      <c r="E543" s="9" t="s">
        <v>14</v>
      </c>
      <c r="F543" s="9">
        <v>921083607</v>
      </c>
      <c r="G543" s="12">
        <v>74841780</v>
      </c>
      <c r="H543" s="9" t="s">
        <v>1722</v>
      </c>
      <c r="I543" t="str">
        <f t="shared" si="8"/>
        <v>('YATACO RAMIREZ ADRIANA NICOLE','AV. SAN CRISTOBAL N°196 - 14 - C.P. SAN IGNACIO - SUNAMPE','SUNAMPE','ZONA: SUNAMPE – VILLA JULIA','921083607','74841780','F1'),</v>
      </c>
    </row>
    <row r="544" spans="1:9">
      <c r="A544" s="2">
        <v>653</v>
      </c>
      <c r="B544" s="9" t="s">
        <v>882</v>
      </c>
      <c r="C544" s="9" t="s">
        <v>883</v>
      </c>
      <c r="D544" s="9" t="s">
        <v>1680</v>
      </c>
      <c r="E544" s="9" t="s">
        <v>126</v>
      </c>
      <c r="F544" s="9">
        <v>904659396</v>
      </c>
      <c r="G544" s="12">
        <v>74866616</v>
      </c>
      <c r="H544" s="9" t="s">
        <v>1722</v>
      </c>
      <c r="I544" t="str">
        <f t="shared" si="8"/>
        <v>('ANTON QUISPE BRITNEY ROSALINDA','AA.HH VIRGEN DEL CARMEN MZ. G LT. 15 - CHINCHA ALTA','CHINCHA ALTA','ZONA: CRUZ BLANCA VIRGEN CARMEN','904659396','74866616','F1'),</v>
      </c>
    </row>
    <row r="545" spans="1:9">
      <c r="A545" s="2">
        <v>654</v>
      </c>
      <c r="B545" s="9" t="s">
        <v>344</v>
      </c>
      <c r="C545" s="9" t="s">
        <v>345</v>
      </c>
      <c r="D545" s="9" t="s">
        <v>1680</v>
      </c>
      <c r="E545" s="9" t="s">
        <v>126</v>
      </c>
      <c r="F545" s="9">
        <v>934817787</v>
      </c>
      <c r="G545" s="12">
        <v>74945376</v>
      </c>
      <c r="H545" s="9" t="s">
        <v>1722</v>
      </c>
      <c r="I545" t="str">
        <f t="shared" si="8"/>
        <v>('ORMEÑO YATACO ARACELY MILAGROS','VIRGEN DEL CARMEN MZ B LT 07, CRUZ BLANCA','CHINCHA ALTA','ZONA: CRUZ BLANCA VIRGEN CARMEN','934817787','74945376','F1'),</v>
      </c>
    </row>
    <row r="546" spans="1:9">
      <c r="A546" s="2">
        <v>655</v>
      </c>
      <c r="B546" s="9" t="s">
        <v>370</v>
      </c>
      <c r="C546" s="9" t="s">
        <v>371</v>
      </c>
      <c r="D546" s="9" t="s">
        <v>1680</v>
      </c>
      <c r="E546" s="9" t="s">
        <v>19</v>
      </c>
      <c r="F546" s="9">
        <v>956501165</v>
      </c>
      <c r="G546" s="12">
        <v>75064714</v>
      </c>
      <c r="H546" s="9" t="s">
        <v>1722</v>
      </c>
      <c r="I546" t="str">
        <f t="shared" si="8"/>
        <v>('LEVANO YATACO LIZETH MILAGROS','PSJ. DOS DE MAYO - CRUZ BLANCA','CHINCHA ALTA','ZONA: CRUZ BLANCA PARTE ALTA oruro','956501165','75064714','F1'),</v>
      </c>
    </row>
    <row r="547" spans="1:9">
      <c r="A547" s="2">
        <v>656</v>
      </c>
      <c r="B547" s="9" t="s">
        <v>1024</v>
      </c>
      <c r="C547" s="9" t="s">
        <v>1025</v>
      </c>
      <c r="D547" s="9" t="s">
        <v>1679</v>
      </c>
      <c r="E547" s="9" t="s">
        <v>71</v>
      </c>
      <c r="F547" s="9" t="s">
        <v>1026</v>
      </c>
      <c r="G547" s="12">
        <v>75178691</v>
      </c>
      <c r="H547" s="9" t="s">
        <v>1722</v>
      </c>
      <c r="I547" t="str">
        <f t="shared" si="8"/>
        <v>('ATUNCAR ALMEYDA ANGEL JESUS','CL. SANTA TERESA S/N - BAJADA DEL SOCORRO - SUNAMPE','SUNAMPE','ZONA: SUNAMPE – SANTA FE','977 655 697','75178691','F1'),</v>
      </c>
    </row>
    <row r="548" spans="1:9">
      <c r="A548" s="2">
        <v>657</v>
      </c>
      <c r="B548" s="9" t="s">
        <v>861</v>
      </c>
      <c r="C548" s="9" t="s">
        <v>862</v>
      </c>
      <c r="D548" s="9" t="s">
        <v>1680</v>
      </c>
      <c r="E548" s="9" t="s">
        <v>126</v>
      </c>
      <c r="F548" s="9">
        <v>907063071</v>
      </c>
      <c r="G548" s="12">
        <v>75187066</v>
      </c>
      <c r="H548" s="9" t="s">
        <v>1722</v>
      </c>
      <c r="I548" t="str">
        <f t="shared" si="8"/>
        <v>('CASTILLA MARCOS DIANA CAROLINA','AA.HH. VIRGEN DEL CARMEN MZ. E LT. 10 - CRUZ BLANCA','CHINCHA ALTA','ZONA: CRUZ BLANCA VIRGEN CARMEN','907063071','75187066','F1'),</v>
      </c>
    </row>
    <row r="549" spans="1:9">
      <c r="A549" s="2">
        <v>658</v>
      </c>
      <c r="B549" s="9" t="s">
        <v>20</v>
      </c>
      <c r="C549" s="9" t="s">
        <v>21</v>
      </c>
      <c r="D549" s="9" t="s">
        <v>1679</v>
      </c>
      <c r="E549" s="9" t="s">
        <v>22</v>
      </c>
      <c r="F549" s="9">
        <v>967061773</v>
      </c>
      <c r="G549" s="12">
        <v>75347649</v>
      </c>
      <c r="H549" s="9" t="s">
        <v>1722</v>
      </c>
      <c r="I549" t="str">
        <f t="shared" si="8"/>
        <v>('CAMPOS VILLA JOHN WILLIAMS','Parada de los Amigos Pasaje Villa - Sunampe','SUNAMPE','ZONA: SUNAMPE – SAN PILPA','967061773','75347649','F1'),</v>
      </c>
    </row>
    <row r="550" spans="1:9">
      <c r="A550" s="2">
        <v>660</v>
      </c>
      <c r="B550" s="9" t="s">
        <v>187</v>
      </c>
      <c r="C550" s="9" t="s">
        <v>188</v>
      </c>
      <c r="D550" s="9" t="s">
        <v>1679</v>
      </c>
      <c r="E550" s="9" t="s">
        <v>14</v>
      </c>
      <c r="F550" s="9" t="s">
        <v>189</v>
      </c>
      <c r="G550" s="12">
        <v>75449009</v>
      </c>
      <c r="H550" s="9" t="s">
        <v>1722</v>
      </c>
      <c r="I550" t="str">
        <f t="shared" si="8"/>
        <v>('QUISPE VASQUEZ JOSE ALEXANDER','VILLA JULIA PSJ LOS LAURELES','SUNAMPE','ZONA: SUNAMPE – VILLA JULIA','939 584 261','75449009','F1'),</v>
      </c>
    </row>
    <row r="551" spans="1:9">
      <c r="A551" s="2">
        <v>661</v>
      </c>
      <c r="B551" s="9" t="s">
        <v>243</v>
      </c>
      <c r="C551" s="9" t="s">
        <v>244</v>
      </c>
      <c r="D551" s="9" t="s">
        <v>1680</v>
      </c>
      <c r="E551" s="9" t="s">
        <v>19</v>
      </c>
      <c r="F551" s="9" t="s">
        <v>245</v>
      </c>
      <c r="G551" s="12">
        <v>75473800</v>
      </c>
      <c r="H551" s="9" t="s">
        <v>1722</v>
      </c>
      <c r="I551" t="str">
        <f t="shared" si="8"/>
        <v>('TASAYCO MUÑOZ TANIA JAHAYRA','Av. 2 de mayo 299 - Cruz blanca','CHINCHA ALTA','ZONA: CRUZ BLANCA PARTE ALTA oruro','945 111 670','75473800','F1'),</v>
      </c>
    </row>
    <row r="552" spans="1:9">
      <c r="A552" s="2">
        <v>662</v>
      </c>
      <c r="B552" s="9" t="s">
        <v>950</v>
      </c>
      <c r="C552" s="9" t="s">
        <v>951</v>
      </c>
      <c r="D552" s="9" t="s">
        <v>1679</v>
      </c>
      <c r="E552" s="9" t="s">
        <v>22</v>
      </c>
      <c r="F552" s="9" t="s">
        <v>952</v>
      </c>
      <c r="G552" s="12">
        <v>75509612</v>
      </c>
      <c r="H552" s="9" t="s">
        <v>1722</v>
      </c>
      <c r="I552" t="str">
        <f t="shared" si="8"/>
        <v>('GALLEGOS SANCHEZ CARMEN DEL ROSARIO','CL. SANTA ROSA N° 251 - SUNAMPE','SUNAMPE','ZONA: SUNAMPE – SAN PILPA','974 088 503x','75509612','F1'),</v>
      </c>
    </row>
    <row r="553" spans="1:9">
      <c r="A553" s="2">
        <v>663</v>
      </c>
      <c r="B553" s="9" t="s">
        <v>1516</v>
      </c>
      <c r="C553" s="9" t="s">
        <v>1517</v>
      </c>
      <c r="D553" s="9" t="s">
        <v>1682</v>
      </c>
      <c r="E553" s="9" t="s">
        <v>1372</v>
      </c>
      <c r="F553" s="9">
        <v>903218708</v>
      </c>
      <c r="G553" s="12">
        <v>75570741</v>
      </c>
      <c r="H553" s="9" t="s">
        <v>1722</v>
      </c>
      <c r="I553" t="str">
        <f t="shared" si="8"/>
        <v>('PAMELA AGUILAR LACHUMA','AA.HH. CIUDAD SATELITE MZ. E LT. 08 - PUEBLO NUEVO','PUEBLO NUEVO','ZONA: PUEBLO - SATELITE','903218708','75570741','F1'),</v>
      </c>
    </row>
    <row r="554" spans="1:9">
      <c r="A554" s="2">
        <v>664</v>
      </c>
      <c r="B554" s="9" t="s">
        <v>261</v>
      </c>
      <c r="C554" s="9" t="s">
        <v>262</v>
      </c>
      <c r="D554" s="9" t="s">
        <v>1680</v>
      </c>
      <c r="E554" s="9" t="s">
        <v>19</v>
      </c>
      <c r="F554" s="9" t="s">
        <v>263</v>
      </c>
      <c r="G554" s="12">
        <v>75660424</v>
      </c>
      <c r="H554" s="9" t="s">
        <v>1722</v>
      </c>
      <c r="I554" t="str">
        <f t="shared" si="8"/>
        <v>('CHAVEZ YAURICASA MARCO ANTONIO','Psj. San Juan de Dios S/N','CHINCHA ALTA','ZONA: CRUZ BLANCA PARTE ALTA oruro','906 735 817','75660424','F1'),</v>
      </c>
    </row>
    <row r="555" spans="1:9">
      <c r="A555" s="2">
        <v>665</v>
      </c>
      <c r="B555" s="9" t="s">
        <v>1009</v>
      </c>
      <c r="C555" s="9" t="s">
        <v>1010</v>
      </c>
      <c r="D555" s="9" t="s">
        <v>1679</v>
      </c>
      <c r="E555" s="9" t="s">
        <v>36</v>
      </c>
      <c r="F555" s="9">
        <v>990345375</v>
      </c>
      <c r="G555" s="12">
        <v>75661021</v>
      </c>
      <c r="H555" s="9" t="s">
        <v>1722</v>
      </c>
      <c r="I555" t="str">
        <f t="shared" si="8"/>
        <v>('GARCIA MENDIGUETE ELISET','CL. LAS FRONTERAS N° 181, C.P. LOMO LARGO - SUNAMPE','SUNAMPE','ZONA: SUNAMPE – PARAISO','990345375','75661021','F1'),</v>
      </c>
    </row>
    <row r="556" spans="1:9">
      <c r="A556" s="2">
        <v>666</v>
      </c>
      <c r="B556" s="9" t="s">
        <v>910</v>
      </c>
      <c r="C556" s="9" t="s">
        <v>911</v>
      </c>
      <c r="D556" s="9" t="s">
        <v>1679</v>
      </c>
      <c r="E556" s="9" t="s">
        <v>718</v>
      </c>
      <c r="F556" s="9">
        <v>997923269</v>
      </c>
      <c r="G556" s="12">
        <v>75667436</v>
      </c>
      <c r="H556" s="9" t="s">
        <v>1722</v>
      </c>
      <c r="I556" t="str">
        <f t="shared" si="8"/>
        <v>('PACHAS ALARCON JOSELYN JANET','PSJ. RAMON CASTILLA N° 135 - SUNAMPE (CHACARITA)','SUNAMPE','ZONA: SUNAMPE – CHACARITA','997923269','75667436','F1'),</v>
      </c>
    </row>
    <row r="557" spans="1:9">
      <c r="A557" s="2">
        <v>667</v>
      </c>
      <c r="B557" s="9" t="s">
        <v>233</v>
      </c>
      <c r="C557" s="9" t="s">
        <v>234</v>
      </c>
      <c r="D557" s="9" t="s">
        <v>1679</v>
      </c>
      <c r="E557" s="9" t="s">
        <v>71</v>
      </c>
      <c r="F557" s="9">
        <v>971110476</v>
      </c>
      <c r="G557" s="12">
        <v>75675848</v>
      </c>
      <c r="H557" s="9" t="s">
        <v>1722</v>
      </c>
      <c r="I557" t="str">
        <f t="shared" si="8"/>
        <v>('FELIX GARCIA DIEGO ERNESTO','Av. Primavera, despues de la entrada de Santa fe - Sunampe','SUNAMPE','ZONA: SUNAMPE – SANTA FE','971110476','75675848','F1'),</v>
      </c>
    </row>
    <row r="558" spans="1:9">
      <c r="A558" s="2">
        <v>669</v>
      </c>
      <c r="B558" s="9" t="s">
        <v>1181</v>
      </c>
      <c r="C558" s="9" t="s">
        <v>1182</v>
      </c>
      <c r="D558" s="9" t="s">
        <v>1679</v>
      </c>
      <c r="E558" s="9" t="s">
        <v>22</v>
      </c>
      <c r="F558" s="9" t="s">
        <v>1183</v>
      </c>
      <c r="G558" s="12">
        <v>75724634</v>
      </c>
      <c r="H558" s="9" t="s">
        <v>1722</v>
      </c>
      <c r="I558" t="str">
        <f t="shared" si="8"/>
        <v>('VILLALOBOS RAMOS KATI LUCERO','AV. ALFONSO UGARTE Nª H-7 - SUNAMPE','SUNAMPE','ZONA: SUNAMPE – SAN PILPA','926 791 781','75724634','F1'),</v>
      </c>
    </row>
    <row r="559" spans="1:9">
      <c r="A559" s="2">
        <v>670</v>
      </c>
      <c r="B559" s="9" t="s">
        <v>583</v>
      </c>
      <c r="C559" s="9" t="s">
        <v>584</v>
      </c>
      <c r="D559" s="9" t="s">
        <v>1679</v>
      </c>
      <c r="E559" s="9" t="s">
        <v>14</v>
      </c>
      <c r="F559" s="9">
        <v>950922462</v>
      </c>
      <c r="G559" s="12">
        <v>75780955</v>
      </c>
      <c r="H559" s="9" t="s">
        <v>1722</v>
      </c>
      <c r="I559" t="str">
        <f t="shared" si="8"/>
        <v>('NAVARRETE CARBAJAL ROSARIO DEL PILAR','Av. San Antonio M. c Lt. 06 - Sunampe','SUNAMPE','ZONA: SUNAMPE – VILLA JULIA','950922462','75780955','F1'),</v>
      </c>
    </row>
    <row r="560" spans="1:9">
      <c r="A560" s="2">
        <v>671</v>
      </c>
      <c r="B560" s="9" t="s">
        <v>1370</v>
      </c>
      <c r="C560" s="9" t="s">
        <v>1371</v>
      </c>
      <c r="D560" s="9" t="s">
        <v>1682</v>
      </c>
      <c r="E560" s="9" t="s">
        <v>1372</v>
      </c>
      <c r="F560" s="9">
        <v>902247802</v>
      </c>
      <c r="G560" s="12">
        <v>75800208</v>
      </c>
      <c r="H560" s="9" t="s">
        <v>1722</v>
      </c>
      <c r="I560" t="str">
        <f t="shared" si="8"/>
        <v>('SANDRA ARANCELI POMALAZA MUÑOZ','AA.HH. CIUDAD SATELITE MZ. C - LT. 02 - PUEBLO NUEVO','PUEBLO NUEVO','ZONA: PUEBLO - SATELITE','902247802','75800208','F1'),</v>
      </c>
    </row>
    <row r="561" spans="1:9">
      <c r="A561" s="2">
        <v>672</v>
      </c>
      <c r="B561" s="9" t="s">
        <v>392</v>
      </c>
      <c r="C561" s="9" t="s">
        <v>393</v>
      </c>
      <c r="D561" s="9" t="s">
        <v>1680</v>
      </c>
      <c r="E561" s="9" t="s">
        <v>334</v>
      </c>
      <c r="F561" s="9">
        <v>932491421</v>
      </c>
      <c r="G561" s="12">
        <v>75800215</v>
      </c>
      <c r="H561" s="9" t="s">
        <v>1722</v>
      </c>
      <c r="I561" t="str">
        <f t="shared" si="8"/>
        <v>('CRUZ SALAZAR ANDREA KINBERLY','Codorillo alto Mz. P Lt. 4','CHINCHA ALTA','ZONA: CONDORILLO PARTE BAJA','932491421','75800215','F1'),</v>
      </c>
    </row>
    <row r="562" spans="1:9">
      <c r="A562" s="2">
        <v>674</v>
      </c>
      <c r="B562" s="9" t="s">
        <v>405</v>
      </c>
      <c r="C562" s="9" t="s">
        <v>406</v>
      </c>
      <c r="D562" s="9" t="s">
        <v>1680</v>
      </c>
      <c r="E562" s="9" t="s">
        <v>90</v>
      </c>
      <c r="F562" s="9">
        <v>918572837</v>
      </c>
      <c r="G562" s="12">
        <v>75832418</v>
      </c>
      <c r="H562" s="9" t="s">
        <v>1722</v>
      </c>
      <c r="I562" t="str">
        <f t="shared" si="8"/>
        <v>('SALDAÑA CHUQUISPUMA DIANA ROSMERY','Condorillo alto L.19','CHINCHA ALTA','ZONA: CONDORILLO PARTE ALTA','918572837','75832418','F1'),</v>
      </c>
    </row>
    <row r="563" spans="1:9">
      <c r="A563" s="2">
        <v>675</v>
      </c>
      <c r="B563" s="9" t="s">
        <v>884</v>
      </c>
      <c r="C563" s="9" t="s">
        <v>885</v>
      </c>
      <c r="D563" s="9" t="s">
        <v>1680</v>
      </c>
      <c r="E563" s="9" t="s">
        <v>334</v>
      </c>
      <c r="F563" s="9">
        <v>906800381</v>
      </c>
      <c r="G563" s="12">
        <v>75832428</v>
      </c>
      <c r="H563" s="9" t="s">
        <v>1722</v>
      </c>
      <c r="I563" t="str">
        <f t="shared" si="8"/>
        <v>('YATACO MAGALLANES ANGEL DAVID','C.P. CONDORILLO ALTO MZ. H LT. 8 - CHINCHA','CHINCHA ALTA','ZONA: CONDORILLO PARTE BAJA','906800381','75832428','F1'),</v>
      </c>
    </row>
    <row r="564" spans="1:9">
      <c r="A564" s="2">
        <v>676</v>
      </c>
      <c r="B564" s="9" t="s">
        <v>955</v>
      </c>
      <c r="C564" s="9" t="s">
        <v>956</v>
      </c>
      <c r="D564" s="9" t="s">
        <v>1679</v>
      </c>
      <c r="E564" s="9" t="s">
        <v>718</v>
      </c>
      <c r="F564" s="9" t="s">
        <v>957</v>
      </c>
      <c r="G564" s="12">
        <v>75833408</v>
      </c>
      <c r="H564" s="9" t="s">
        <v>1722</v>
      </c>
      <c r="I564" t="str">
        <f t="shared" si="8"/>
        <v>('MAURICIO SARAVIA RENZO','PSJE. SAN MIGUEL LOTE 06, BARRIO CHACARITA - SUNAMPE','SUNAMPE','ZONA: SUNAMPE – CHACARITA','918 737 827','75833408','F1'),</v>
      </c>
    </row>
    <row r="565" spans="1:9">
      <c r="A565" s="2">
        <v>677</v>
      </c>
      <c r="B565" s="9" t="s">
        <v>944</v>
      </c>
      <c r="C565" s="9" t="s">
        <v>945</v>
      </c>
      <c r="D565" s="9" t="s">
        <v>1680</v>
      </c>
      <c r="E565" s="9" t="s">
        <v>99</v>
      </c>
      <c r="F565" s="9" t="s">
        <v>946</v>
      </c>
      <c r="G565" s="12">
        <v>75842283</v>
      </c>
      <c r="H565" s="9" t="s">
        <v>1722</v>
      </c>
      <c r="I565" t="str">
        <f t="shared" si="8"/>
        <v>('MARTINEZ MACHARI ALEXANDER ANDERSON','CC.PP NUEVO CONDORILLO - SAN VALENTIN G-8','CHINCHA ALTA','ZONA: CRUZ BLANCA CAMPO','926 767 635','75842283','F1'),</v>
      </c>
    </row>
    <row r="566" spans="1:9">
      <c r="A566" s="2">
        <v>678</v>
      </c>
      <c r="B566" s="9" t="s">
        <v>1620</v>
      </c>
      <c r="C566" s="9" t="s">
        <v>1621</v>
      </c>
      <c r="D566" s="9" t="s">
        <v>1683</v>
      </c>
      <c r="E566" s="9" t="s">
        <v>1622</v>
      </c>
      <c r="F566" s="9">
        <v>5255873</v>
      </c>
      <c r="G566" s="12">
        <v>75874825</v>
      </c>
      <c r="H566" s="9" t="s">
        <v>1722</v>
      </c>
      <c r="I566" t="str">
        <f t="shared" si="8"/>
        <v>('GARCIA APOLAYA CARLOS EDUARDO','Av Simón Bolívar 328. Cruz Verde -Tambo de mora','TAMBO DE MORA','Zona: Tambo de Mora 2','5255873','75874825','F1'),</v>
      </c>
    </row>
    <row r="567" spans="1:9">
      <c r="A567" s="2">
        <v>679</v>
      </c>
      <c r="B567" s="9" t="s">
        <v>1011</v>
      </c>
      <c r="C567" s="9" t="s">
        <v>1012</v>
      </c>
      <c r="D567" s="9" t="s">
        <v>1680</v>
      </c>
      <c r="E567" s="9" t="s">
        <v>19</v>
      </c>
      <c r="F567" s="9">
        <v>967591253</v>
      </c>
      <c r="G567" s="12">
        <v>75901224</v>
      </c>
      <c r="H567" s="9" t="s">
        <v>1722</v>
      </c>
      <c r="I567" t="str">
        <f t="shared" si="8"/>
        <v>('ALVARADO JUAREZ ANTHONY JACOB','PSJ. 2 DE MAYO LT. 07 - CRUZ BLANCA - CHINCHA','CHINCHA ALTA','ZONA: CRUZ BLANCA PARTE ALTA oruro','967591253','75901224','F1'),</v>
      </c>
    </row>
    <row r="568" spans="1:9">
      <c r="A568" s="2">
        <v>681</v>
      </c>
      <c r="B568" s="9" t="s">
        <v>1029</v>
      </c>
      <c r="C568" s="9" t="s">
        <v>1030</v>
      </c>
      <c r="D568" s="9" t="s">
        <v>1680</v>
      </c>
      <c r="E568" s="9" t="s">
        <v>334</v>
      </c>
      <c r="F568" s="9">
        <v>900648734</v>
      </c>
      <c r="G568" s="12">
        <v>75957606</v>
      </c>
      <c r="H568" s="9" t="s">
        <v>1722</v>
      </c>
      <c r="I568" t="str">
        <f t="shared" si="8"/>
        <v>('CASTAÑEDA SULCA ROSA LINDA','CC.PP. NUEVO CONDORILLO - SAN VALENTIN MZ. I LT. 12 - CHINCHA','CHINCHA ALTA','ZONA: CONDORILLO PARTE BAJA','900648734','75957606','F1'),</v>
      </c>
    </row>
    <row r="569" spans="1:9">
      <c r="A569" s="2">
        <v>684</v>
      </c>
      <c r="B569" s="9" t="s">
        <v>1216</v>
      </c>
      <c r="C569" s="9" t="s">
        <v>1217</v>
      </c>
      <c r="D569" s="9" t="s">
        <v>1679</v>
      </c>
      <c r="E569" s="9" t="s">
        <v>22</v>
      </c>
      <c r="F569" s="9">
        <v>906234378</v>
      </c>
      <c r="G569" s="12">
        <v>76022500</v>
      </c>
      <c r="H569" s="9" t="s">
        <v>1722</v>
      </c>
      <c r="I569" t="str">
        <f t="shared" si="8"/>
        <v>('FELIX GARAY DANIELA MILAGROS','CL. LOS ANGELES S/N, C.P. LOMO LARGO - SUNAMPE','SUNAMPE','ZONA: SUNAMPE – SAN PILPA','906234378','76022500','F1'),</v>
      </c>
    </row>
    <row r="570" spans="1:9">
      <c r="A570" s="2">
        <v>686</v>
      </c>
      <c r="B570" s="9" t="s">
        <v>786</v>
      </c>
      <c r="C570" s="9" t="s">
        <v>787</v>
      </c>
      <c r="D570" s="9" t="s">
        <v>1680</v>
      </c>
      <c r="E570" s="9" t="s">
        <v>126</v>
      </c>
      <c r="F570" s="9">
        <v>934604492</v>
      </c>
      <c r="G570" s="12">
        <v>76033387</v>
      </c>
      <c r="H570" s="9" t="s">
        <v>1722</v>
      </c>
      <c r="I570" t="str">
        <f t="shared" si="8"/>
        <v>('AVALOS FLORES YENNY LISETH','PSJ. JOSE OLAYA N°899 - CHINCHA ALTA (La playita)','CHINCHA ALTA','ZONA: CRUZ BLANCA VIRGEN CARMEN','934604492','76033387','F1'),</v>
      </c>
    </row>
    <row r="571" spans="1:9">
      <c r="A571" s="2">
        <v>689</v>
      </c>
      <c r="B571" s="9" t="s">
        <v>687</v>
      </c>
      <c r="C571" s="9" t="s">
        <v>688</v>
      </c>
      <c r="D571" s="9" t="s">
        <v>1679</v>
      </c>
      <c r="E571" s="9" t="s">
        <v>135</v>
      </c>
      <c r="F571" s="9">
        <v>971900192</v>
      </c>
      <c r="G571" s="12">
        <v>76079364</v>
      </c>
      <c r="H571" s="9" t="s">
        <v>1722</v>
      </c>
      <c r="I571" t="str">
        <f t="shared" si="8"/>
        <v>('FUENTES DE LA CRUZ FATIMA DEL ROSARIO','Av. Fatima - Sunampe  710','SUNAMPE','ZONA: SUNAMPE – HUACA GRANDE','971900192','76079364','F1'),</v>
      </c>
    </row>
    <row r="572" spans="1:9">
      <c r="A572" s="2">
        <v>691</v>
      </c>
      <c r="B572" s="9" t="s">
        <v>942</v>
      </c>
      <c r="C572" s="9" t="s">
        <v>943</v>
      </c>
      <c r="D572" s="9" t="s">
        <v>1679</v>
      </c>
      <c r="E572" s="9" t="s">
        <v>718</v>
      </c>
      <c r="F572" s="9">
        <v>982692592</v>
      </c>
      <c r="G572" s="12">
        <v>76172948</v>
      </c>
      <c r="H572" s="9" t="s">
        <v>1722</v>
      </c>
      <c r="I572" t="str">
        <f t="shared" si="8"/>
        <v>('HERNANDEZ NAPA CARLOS EDUARDO','CL. VICTOR RAUL HAYA DE LA TORRE S/N, CHACARITA - SUNAMPE','SUNAMPE','ZONA: SUNAMPE – CHACARITA','982692592','76172948','F1'),</v>
      </c>
    </row>
    <row r="573" spans="1:9">
      <c r="A573" s="2">
        <v>693</v>
      </c>
      <c r="B573" s="9" t="s">
        <v>1330</v>
      </c>
      <c r="C573" s="9" t="s">
        <v>1331</v>
      </c>
      <c r="D573" s="9" t="s">
        <v>1681</v>
      </c>
      <c r="E573" s="9" t="s">
        <v>11</v>
      </c>
      <c r="F573" s="9">
        <v>943735454</v>
      </c>
      <c r="G573" s="12">
        <v>76307312</v>
      </c>
      <c r="H573" s="9" t="s">
        <v>1722</v>
      </c>
      <c r="I573" t="str">
        <f t="shared" si="8"/>
        <v>('MARYORI SARAVIA LEVANO','AVDA SAN RAFAEL NRO. 258-01 - BARRIO MELCHORITA - GROCIO PRADO','GROCIO PRADO','ZONA: GROCIO - MEJILLONEROS','943735454','76307312','F1'),</v>
      </c>
    </row>
    <row r="574" spans="1:9">
      <c r="A574" s="2">
        <v>694</v>
      </c>
      <c r="B574" s="9" t="s">
        <v>798</v>
      </c>
      <c r="C574" s="9" t="s">
        <v>799</v>
      </c>
      <c r="D574" s="9" t="s">
        <v>1680</v>
      </c>
      <c r="E574" s="9" t="s">
        <v>126</v>
      </c>
      <c r="F574" s="9" t="s">
        <v>800</v>
      </c>
      <c r="G574" s="12">
        <v>76427502</v>
      </c>
      <c r="H574" s="9" t="s">
        <v>1722</v>
      </c>
      <c r="I574" t="str">
        <f t="shared" si="8"/>
        <v>('RAMOS BALTAZAR MAGDIEL','CL TOMA DE CALA LT17, CRUZ BLANCA','CHINCHA ALTA','ZONA: CRUZ BLANCA VIRGEN CARMEN','906 628 589','76427502','F1'),</v>
      </c>
    </row>
    <row r="575" spans="1:9">
      <c r="A575" s="2">
        <v>695</v>
      </c>
      <c r="B575" s="9" t="s">
        <v>1418</v>
      </c>
      <c r="C575" s="9" t="s">
        <v>1419</v>
      </c>
      <c r="D575" s="9" t="s">
        <v>1682</v>
      </c>
      <c r="E575" s="9" t="s">
        <v>1372</v>
      </c>
      <c r="F575" s="9">
        <v>985383437</v>
      </c>
      <c r="G575" s="12">
        <v>76505348</v>
      </c>
      <c r="H575" s="9" t="s">
        <v>1722</v>
      </c>
      <c r="I575" t="str">
        <f t="shared" si="8"/>
        <v>('KATHERINE JASMIN LACHUMA IPUSHIMA','MZNA A NRO. LOTE 28 - C.P. LAS LOMAS - PUEBLO NUEVO','PUEBLO NUEVO','ZONA: PUEBLO - SATELITE','985383437','76505348','F1'),</v>
      </c>
    </row>
    <row r="576" spans="1:9">
      <c r="A576" s="2">
        <v>696</v>
      </c>
      <c r="B576" s="9" t="s">
        <v>368</v>
      </c>
      <c r="C576" s="9" t="s">
        <v>369</v>
      </c>
      <c r="D576" s="9" t="s">
        <v>1679</v>
      </c>
      <c r="E576" s="9" t="s">
        <v>5</v>
      </c>
      <c r="F576" s="9">
        <v>994986103</v>
      </c>
      <c r="G576" s="12">
        <v>76527110</v>
      </c>
      <c r="H576" s="9" t="s">
        <v>1722</v>
      </c>
      <c r="I576" t="str">
        <f t="shared" si="8"/>
        <v>('BENDEZU FLORES LUCIA MABEL','psj. san martin s/n','SUNAMPE','ZONA: SUNAMPE – SANTA ROSA','994986103','76527110','F1'),</v>
      </c>
    </row>
    <row r="577" spans="1:9">
      <c r="A577" s="2">
        <v>697</v>
      </c>
      <c r="B577" s="9" t="s">
        <v>91</v>
      </c>
      <c r="C577" s="9" t="s">
        <v>92</v>
      </c>
      <c r="D577" s="9" t="s">
        <v>1680</v>
      </c>
      <c r="E577" s="9" t="s">
        <v>19</v>
      </c>
      <c r="F577" s="9">
        <v>924343517</v>
      </c>
      <c r="G577" s="12">
        <v>76564222</v>
      </c>
      <c r="H577" s="9" t="s">
        <v>1722</v>
      </c>
      <c r="I577" t="str">
        <f t="shared" si="8"/>
        <v>('CARBAJAL NAVARRO CRISTHIAN JUNIOR','Av. Alva Maurtua S/N - Cruz Blanca','CHINCHA ALTA','ZONA: CRUZ BLANCA PARTE ALTA oruro','924343517','76564222','F1'),</v>
      </c>
    </row>
    <row r="578" spans="1:9">
      <c r="A578" s="2">
        <v>698</v>
      </c>
      <c r="B578" s="9" t="s">
        <v>1590</v>
      </c>
      <c r="C578" s="9" t="s">
        <v>1591</v>
      </c>
      <c r="D578" s="9" t="s">
        <v>1682</v>
      </c>
      <c r="E578" s="9" t="s">
        <v>1582</v>
      </c>
      <c r="F578" s="9">
        <v>917443551</v>
      </c>
      <c r="G578" s="12">
        <v>76566228</v>
      </c>
      <c r="H578" s="9" t="s">
        <v>1722</v>
      </c>
      <c r="I578" t="str">
        <f t="shared" si="8"/>
        <v>('GONZALES ASTORAYME PEDRO JHOSEP','Rosedal Palermo MZ D Lote 2- Pueblo Nuevo  Ref: a espaldas de la torre','PUEBLO NUEVO','Zona: Rosedal','917443551','76566228','F1'),</v>
      </c>
    </row>
    <row r="579" spans="1:9">
      <c r="A579" s="2">
        <v>699</v>
      </c>
      <c r="B579" s="9" t="s">
        <v>962</v>
      </c>
      <c r="C579" s="9" t="s">
        <v>963</v>
      </c>
      <c r="D579" s="9" t="s">
        <v>1680</v>
      </c>
      <c r="E579" s="9" t="s">
        <v>90</v>
      </c>
      <c r="F579" s="9" t="s">
        <v>964</v>
      </c>
      <c r="G579" s="12">
        <v>76568304</v>
      </c>
      <c r="H579" s="9" t="s">
        <v>1722</v>
      </c>
      <c r="I579" t="str">
        <f t="shared" ref="I579:I642" si="9">"('"&amp;B579&amp;"','"&amp;C579&amp;"','"&amp;D579&amp;"','"&amp;E579&amp;"','"&amp;F579&amp;"','"&amp;G579&amp;"','"&amp;H579&amp;"'),"</f>
        <v>('CHUQUISPUMA QUISPE SANDRA CAROLINA','C.P. CONDORILLO ALTO - MZ. N  LT. 20 - CHINCHA ALTA','CHINCHA ALTA','ZONA: CONDORILLO PARTE ALTA','984 393 444','76568304','F1'),</v>
      </c>
    </row>
    <row r="580" spans="1:9">
      <c r="A580" s="2">
        <v>700</v>
      </c>
      <c r="B580" s="9" t="s">
        <v>576</v>
      </c>
      <c r="C580" s="9" t="s">
        <v>577</v>
      </c>
      <c r="D580" s="9" t="s">
        <v>1680</v>
      </c>
      <c r="E580" s="9" t="s">
        <v>27</v>
      </c>
      <c r="F580" s="9">
        <v>936353217</v>
      </c>
      <c r="G580" s="12">
        <v>76598077</v>
      </c>
      <c r="H580" s="9" t="s">
        <v>1722</v>
      </c>
      <c r="I580" t="str">
        <f t="shared" si="9"/>
        <v>('LEVANO PEÑA DANIEL ALBERTO','Psj santa rosa cruz blanca espalda estadio','CHINCHA ALTA','ZONA: CRUZ BLANCA PARTE BAJA','936353217','76598077','F1'),</v>
      </c>
    </row>
    <row r="581" spans="1:9">
      <c r="A581" s="2">
        <v>701</v>
      </c>
      <c r="B581" s="9" t="s">
        <v>107</v>
      </c>
      <c r="C581" s="9" t="s">
        <v>108</v>
      </c>
      <c r="D581" s="9" t="s">
        <v>1680</v>
      </c>
      <c r="E581" s="9" t="s">
        <v>27</v>
      </c>
      <c r="F581" s="9">
        <v>927288221</v>
      </c>
      <c r="G581" s="12">
        <v>76699951</v>
      </c>
      <c r="H581" s="9" t="s">
        <v>1722</v>
      </c>
      <c r="I581" t="str">
        <f t="shared" si="9"/>
        <v>('LEVANO VERGARA PIERO ALEXANDER','A.v Alva Maurtua Nº106- Cruz Blanca','CHINCHA ALTA','ZONA: CRUZ BLANCA PARTE BAJA','927288221','76699951','F1'),</v>
      </c>
    </row>
    <row r="582" spans="1:9">
      <c r="A582" s="2">
        <v>703</v>
      </c>
      <c r="B582" s="9" t="s">
        <v>1409</v>
      </c>
      <c r="C582" s="9" t="s">
        <v>1410</v>
      </c>
      <c r="D582" s="9" t="s">
        <v>1682</v>
      </c>
      <c r="E582" s="9" t="s">
        <v>1383</v>
      </c>
      <c r="F582" s="9">
        <v>994043628</v>
      </c>
      <c r="G582" s="12">
        <v>76872573</v>
      </c>
      <c r="H582" s="9" t="s">
        <v>1722</v>
      </c>
      <c r="I582" t="str">
        <f t="shared" si="9"/>
        <v>('NILDA HUAHUATICO PALOMINO','AA. HH. LAS ROCAS MZ. J - PUERTA 08 - PUEBLO NUEVO','PUEBLO NUEVO','ZONA: PUEBLO - SATELITE - ROCAS','994043628','76872573','F1'),</v>
      </c>
    </row>
    <row r="583" spans="1:9">
      <c r="A583" s="2">
        <v>704</v>
      </c>
      <c r="B583" s="9" t="s">
        <v>249</v>
      </c>
      <c r="C583" s="9" t="s">
        <v>250</v>
      </c>
      <c r="D583" s="9" t="s">
        <v>1680</v>
      </c>
      <c r="E583" s="9" t="s">
        <v>27</v>
      </c>
      <c r="F583" s="9" t="s">
        <v>251</v>
      </c>
      <c r="G583" s="12">
        <v>76920562</v>
      </c>
      <c r="H583" s="9" t="s">
        <v>1722</v>
      </c>
      <c r="I583" t="str">
        <f t="shared" si="9"/>
        <v>('CLAROS MAGALLANES JERSON JESUS','toma de cala lt 16','CHINCHA ALTA','ZONA: CRUZ BLANCA PARTE BAJA','970 855 964','76920562','F1'),</v>
      </c>
    </row>
    <row r="584" spans="1:9">
      <c r="A584" s="2">
        <v>705</v>
      </c>
      <c r="B584" s="9" t="s">
        <v>1184</v>
      </c>
      <c r="C584" s="9" t="s">
        <v>1185</v>
      </c>
      <c r="D584" s="9" t="s">
        <v>1679</v>
      </c>
      <c r="E584" s="9" t="s">
        <v>718</v>
      </c>
      <c r="F584" s="9">
        <v>978787582</v>
      </c>
      <c r="G584" s="12">
        <v>76953577</v>
      </c>
      <c r="H584" s="9" t="s">
        <v>1722</v>
      </c>
      <c r="I584" t="str">
        <f t="shared" si="9"/>
        <v>('YATACO JACOBO YERSON LEONEL','AV. NICOLAS DE PIEROLA Nº 130 - BARRIO SAN MARTIN - SUNAMPE','SUNAMPE','ZONA: SUNAMPE – CHACARITA','978787582','76953577','F1'),</v>
      </c>
    </row>
    <row r="585" spans="1:9">
      <c r="A585" s="2">
        <v>706</v>
      </c>
      <c r="B585" s="9" t="s">
        <v>163</v>
      </c>
      <c r="C585" s="9" t="s">
        <v>164</v>
      </c>
      <c r="D585" s="9" t="s">
        <v>1680</v>
      </c>
      <c r="E585" s="9" t="s">
        <v>19</v>
      </c>
      <c r="F585" s="9">
        <v>991902168</v>
      </c>
      <c r="G585" s="12">
        <v>77100370</v>
      </c>
      <c r="H585" s="9" t="s">
        <v>1722</v>
      </c>
      <c r="I585" t="str">
        <f t="shared" si="9"/>
        <v>('CASTAÑEDA SULCA BRIGIDA DIONICIA','Cruz Blanca Psj estrada 2 de mayo','CHINCHA ALTA','ZONA: CRUZ BLANCA PARTE ALTA oruro','991902168','77100370','F1'),</v>
      </c>
    </row>
    <row r="586" spans="1:9">
      <c r="A586" s="2">
        <v>708</v>
      </c>
      <c r="B586" s="9" t="s">
        <v>702</v>
      </c>
      <c r="C586" s="9" t="s">
        <v>703</v>
      </c>
      <c r="D586" s="9" t="s">
        <v>1679</v>
      </c>
      <c r="E586" s="9" t="s">
        <v>8</v>
      </c>
      <c r="F586" s="9">
        <v>932470546</v>
      </c>
      <c r="G586" s="12">
        <v>77227968</v>
      </c>
      <c r="H586" s="9" t="s">
        <v>1722</v>
      </c>
      <c r="I586" t="str">
        <f t="shared" si="9"/>
        <v>('TIPISMANA PACHAS CARMEN LUCERO','Huaca grande Lt. 55-04 - Sunampe','SUNAMPE','ZONA: SUNAMPE – COLEGIO','932470546','77227968','F1'),</v>
      </c>
    </row>
    <row r="587" spans="1:9">
      <c r="A587" s="2">
        <v>709</v>
      </c>
      <c r="B587" s="9" t="s">
        <v>536</v>
      </c>
      <c r="C587" s="9" t="s">
        <v>537</v>
      </c>
      <c r="D587" s="9" t="s">
        <v>1680</v>
      </c>
      <c r="E587" s="9" t="s">
        <v>90</v>
      </c>
      <c r="F587" s="9" t="s">
        <v>538</v>
      </c>
      <c r="G587" s="12">
        <v>77273006</v>
      </c>
      <c r="H587" s="9" t="s">
        <v>1722</v>
      </c>
      <c r="I587" t="str">
        <f t="shared" si="9"/>
        <v>('AZURIN QUISPE LUIS ANGEL','Condorillo Alto, De la pista principal hacia abajo','CHINCHA ALTA','ZONA: CONDORILLO PARTE ALTA','940 707 598','77273006','F1'),</v>
      </c>
    </row>
    <row r="588" spans="1:9">
      <c r="A588" s="2">
        <v>710</v>
      </c>
      <c r="B588" s="9" t="s">
        <v>1407</v>
      </c>
      <c r="C588" s="9" t="s">
        <v>1408</v>
      </c>
      <c r="D588" s="9" t="s">
        <v>1680</v>
      </c>
      <c r="E588" s="9" t="s">
        <v>126</v>
      </c>
      <c r="F588" s="9">
        <v>933469689</v>
      </c>
      <c r="G588" s="12">
        <v>77391971</v>
      </c>
      <c r="H588" s="9" t="s">
        <v>1722</v>
      </c>
      <c r="I588" t="str">
        <f t="shared" si="9"/>
        <v>('CAMILA HASEL MAC GUIRRE ORMEÑO','MZ. E NRO. PUERTA 02 AA.HH. VIRGEN DEL CARMEN - CHINCHA ALTA','CHINCHA ALTA','ZONA: CRUZ BLANCA VIRGEN CARMEN','933469689','77391971','F1'),</v>
      </c>
    </row>
    <row r="589" spans="1:9">
      <c r="A589" s="2">
        <v>711</v>
      </c>
      <c r="B589" s="9" t="s">
        <v>1625</v>
      </c>
      <c r="C589" s="9" t="s">
        <v>1626</v>
      </c>
      <c r="D589" s="9" t="s">
        <v>1683</v>
      </c>
      <c r="E589" s="9" t="s">
        <v>1627</v>
      </c>
      <c r="F589" s="9">
        <v>994848235</v>
      </c>
      <c r="G589" s="12">
        <v>77464373</v>
      </c>
      <c r="H589" s="9" t="s">
        <v>1733</v>
      </c>
      <c r="I589" t="str">
        <f t="shared" si="9"/>
        <v>('AQUIJE CASTILLA FREDY JOEL','Upis karin Figueroa Mz B Lt 17 Chincha Baja','TAMBO DE MORA','Zona: Tambo de Mora 1','994848235','77464373','F2'),</v>
      </c>
    </row>
    <row r="590" spans="1:9">
      <c r="A590" s="2">
        <v>712</v>
      </c>
      <c r="B590" s="9" t="s">
        <v>572</v>
      </c>
      <c r="C590" s="9" t="s">
        <v>573</v>
      </c>
      <c r="D590" s="9" t="s">
        <v>1681</v>
      </c>
      <c r="E590" s="9" t="s">
        <v>11</v>
      </c>
      <c r="F590" s="9">
        <v>902244127</v>
      </c>
      <c r="G590" s="12">
        <v>77501764</v>
      </c>
      <c r="H590" s="9" t="s">
        <v>1722</v>
      </c>
      <c r="I590" t="str">
        <f t="shared" si="9"/>
        <v>('AQUINO MAGALLANES JASON','AV. 28 de Julio 909 - Grocio Prado','GROCIO PRADO','ZONA: GROCIO - MEJILLONEROS','902244127','77501764','F1'),</v>
      </c>
    </row>
    <row r="591" spans="1:9">
      <c r="A591" s="2">
        <v>713</v>
      </c>
      <c r="B591" s="9" t="s">
        <v>28</v>
      </c>
      <c r="C591" s="9" t="s">
        <v>29</v>
      </c>
      <c r="D591" s="9" t="s">
        <v>1680</v>
      </c>
      <c r="E591" s="9" t="s">
        <v>19</v>
      </c>
      <c r="F591" s="9">
        <v>918104510</v>
      </c>
      <c r="G591" s="12">
        <v>77564718</v>
      </c>
      <c r="H591" s="9" t="s">
        <v>1722</v>
      </c>
      <c r="I591" t="str">
        <f t="shared" si="9"/>
        <v>('ABREGU NAPA FRANK ENRIQUE','Pasaje Napa - Cruz Blanca','CHINCHA ALTA','ZONA: CRUZ BLANCA PARTE ALTA oruro','918104510','77564718','F1'),</v>
      </c>
    </row>
    <row r="592" spans="1:9">
      <c r="A592" s="2">
        <v>714</v>
      </c>
      <c r="B592" s="9" t="s">
        <v>581</v>
      </c>
      <c r="C592" s="9" t="s">
        <v>582</v>
      </c>
      <c r="D592" s="9" t="s">
        <v>1681</v>
      </c>
      <c r="E592" s="9" t="s">
        <v>11</v>
      </c>
      <c r="F592" s="9">
        <v>919703341</v>
      </c>
      <c r="G592" s="12">
        <v>77813385</v>
      </c>
      <c r="H592" s="9" t="s">
        <v>1722</v>
      </c>
      <c r="I592" t="str">
        <f t="shared" si="9"/>
        <v>('TORRES MENDOZA FELICITA BEATRIZ','Av. Melchorita nº 813- Grocio Prado Ref: Colegio media luna espalda del restaurante Yanella','GROCIO PRADO','ZONA: GROCIO - MEJILLONEROS','919703341','77813385','F1'),</v>
      </c>
    </row>
    <row r="593" spans="1:9">
      <c r="A593" s="2">
        <v>716</v>
      </c>
      <c r="B593" s="9" t="s">
        <v>987</v>
      </c>
      <c r="C593" s="9" t="s">
        <v>988</v>
      </c>
      <c r="D593" s="9" t="s">
        <v>1680</v>
      </c>
      <c r="E593" s="9" t="s">
        <v>99</v>
      </c>
      <c r="F593" s="9">
        <v>974714703</v>
      </c>
      <c r="G593" s="12">
        <v>78825818</v>
      </c>
      <c r="H593" s="9" t="s">
        <v>1722</v>
      </c>
      <c r="I593" t="str">
        <f t="shared" si="9"/>
        <v>('MAGALLANES CASAS STEFANY BRIDID','CALLE EL CARMEN N° 207 - CRUZ BLANCA - CHINCHA','CHINCHA ALTA','ZONA: CRUZ BLANCA CAMPO','974714703','78825818','F1'),</v>
      </c>
    </row>
    <row r="594" spans="1:9">
      <c r="A594" s="2">
        <v>718</v>
      </c>
      <c r="B594" s="9" t="s">
        <v>557</v>
      </c>
      <c r="C594" s="9" t="s">
        <v>558</v>
      </c>
      <c r="D594" s="9" t="s">
        <v>1680</v>
      </c>
      <c r="E594" s="9" t="s">
        <v>126</v>
      </c>
      <c r="F594" s="9">
        <v>954494022</v>
      </c>
      <c r="G594" s="12">
        <v>80060253</v>
      </c>
      <c r="H594" s="9" t="s">
        <v>1722</v>
      </c>
      <c r="I594" t="str">
        <f t="shared" si="9"/>
        <v>('MENESES TORRES VICTOR','Av. Arenales s/n (pasando el megamercado de cruz blanca)','CHINCHA ALTA','ZONA: CRUZ BLANCA VIRGEN CARMEN','954494022','80060253','F1'),</v>
      </c>
    </row>
    <row r="595" spans="1:9">
      <c r="A595" s="2">
        <v>722</v>
      </c>
      <c r="B595" s="9" t="s">
        <v>1411</v>
      </c>
      <c r="C595" s="9" t="s">
        <v>1412</v>
      </c>
      <c r="D595" s="9" t="s">
        <v>1682</v>
      </c>
      <c r="E595" s="9" t="s">
        <v>1372</v>
      </c>
      <c r="F595" s="9">
        <v>907377901</v>
      </c>
      <c r="G595" s="12">
        <v>10000001</v>
      </c>
      <c r="H595" s="9" t="s">
        <v>1722</v>
      </c>
      <c r="I595" t="str">
        <f t="shared" si="9"/>
        <v>('RODRIGUEZ LOPEZ LORENA CAROLINA','AA. HH. CIUDAD SATELITE S/N. - PUEBLO NUEVO','PUEBLO NUEVO','ZONA: PUEBLO - SATELITE','907377901','10000001','F1'),</v>
      </c>
    </row>
    <row r="596" spans="1:9">
      <c r="A596" s="2">
        <v>5</v>
      </c>
      <c r="B596" s="9" t="s">
        <v>1471</v>
      </c>
      <c r="C596" s="9" t="s">
        <v>1472</v>
      </c>
      <c r="D596" s="9" t="s">
        <v>1679</v>
      </c>
      <c r="E596" s="9" t="s">
        <v>22</v>
      </c>
      <c r="F596" s="9">
        <v>986052283</v>
      </c>
      <c r="G596" s="12" t="s">
        <v>1473</v>
      </c>
      <c r="H596" s="9" t="s">
        <v>1723</v>
      </c>
      <c r="I596" t="str">
        <f t="shared" si="9"/>
        <v>('MAXIMO VICTOR LOYOLA SARAVIA','PSJE SAN BLAS ALTO Nro. Puerta 430 ; C.P. San Pedro de Pilpa , SUNAMPE','SUNAMPE','ZONA: SUNAMPE – SAN PILPA','986052283','06209396','Todos'),</v>
      </c>
    </row>
    <row r="597" spans="1:9">
      <c r="A597" s="2">
        <v>13</v>
      </c>
      <c r="B597" s="9" t="s">
        <v>1348</v>
      </c>
      <c r="C597" s="9" t="s">
        <v>1349</v>
      </c>
      <c r="D597" s="9" t="s">
        <v>1682</v>
      </c>
      <c r="E597" s="9" t="s">
        <v>1106</v>
      </c>
      <c r="F597" s="9">
        <v>964036227</v>
      </c>
      <c r="G597" s="12" t="s">
        <v>1350</v>
      </c>
      <c r="H597" s="9" t="s">
        <v>1723</v>
      </c>
      <c r="I597" t="str">
        <f t="shared" si="9"/>
        <v>('CANALES MACHUCA MARUJA MARITZA','CL SAN MARTIN DE PORRES NRO. PUERTA 12B - LT. 4 - LOS ALAMOS - PUEBLO NUEVO','PUEBLO NUEVO','ZONA: PUEBLO - TECHO PROPIO','964036227','09674727','Todos'),</v>
      </c>
    </row>
    <row r="598" spans="1:9">
      <c r="A598" s="2">
        <v>19</v>
      </c>
      <c r="B598" s="9" t="s">
        <v>1364</v>
      </c>
      <c r="C598" s="9" t="s">
        <v>1365</v>
      </c>
      <c r="D598" s="9" t="s">
        <v>1679</v>
      </c>
      <c r="E598" s="9" t="s">
        <v>14</v>
      </c>
      <c r="F598" s="9">
        <v>907480123</v>
      </c>
      <c r="G598" s="12">
        <v>21509649</v>
      </c>
      <c r="H598" s="9" t="s">
        <v>1723</v>
      </c>
      <c r="I598" t="str">
        <f t="shared" si="9"/>
        <v>('NORMA AMPARO RONCEROS GARAY','PSJE. SAN CRISTOBAL MZ. B LT. 01 - C.P. SAN IGNACIO - SUNAMPE','SUNAMPE','ZONA: SUNAMPE – VILLA JULIA','907480123','21509649','Todos'),</v>
      </c>
    </row>
    <row r="599" spans="1:9">
      <c r="A599" s="2">
        <v>47</v>
      </c>
      <c r="B599" s="9" t="s">
        <v>1548</v>
      </c>
      <c r="C599" s="9" t="s">
        <v>1549</v>
      </c>
      <c r="D599" s="9" t="s">
        <v>1682</v>
      </c>
      <c r="E599" s="9" t="s">
        <v>1106</v>
      </c>
      <c r="F599" s="9">
        <v>933513255</v>
      </c>
      <c r="G599" s="12">
        <v>21813176</v>
      </c>
      <c r="H599" s="9" t="s">
        <v>1723</v>
      </c>
      <c r="I599" t="str">
        <f t="shared" si="9"/>
        <v>('FLOR MARIA LEVANO YATACO','CALLE ROSARIO 500','PUEBLO NUEVO','ZONA: PUEBLO - TECHO PROPIO','933513255','21813176','Todos'),</v>
      </c>
    </row>
    <row r="600" spans="1:9">
      <c r="A600" s="2">
        <v>62</v>
      </c>
      <c r="B600" s="9" t="s">
        <v>1264</v>
      </c>
      <c r="C600" s="9" t="s">
        <v>1265</v>
      </c>
      <c r="D600" s="9" t="s">
        <v>1681</v>
      </c>
      <c r="E600" s="9" t="s">
        <v>11</v>
      </c>
      <c r="F600" s="9" t="s">
        <v>1266</v>
      </c>
      <c r="G600" s="12">
        <v>21830368</v>
      </c>
      <c r="H600" s="9" t="s">
        <v>1723</v>
      </c>
      <c r="I600" t="str">
        <f t="shared" si="9"/>
        <v>('MAGALLANES LOYOLA JOSE FELIX','AVDA 28 DE JULIO NRO. 1004-04 - GROCIO PRADO','GROCIO PRADO','ZONA: GROCIO - MEJILLONEROS','902 244 127','21830368','Todos'),</v>
      </c>
    </row>
    <row r="601" spans="1:9">
      <c r="A601" s="2">
        <v>63</v>
      </c>
      <c r="B601" s="9" t="s">
        <v>1344</v>
      </c>
      <c r="C601" s="9" t="s">
        <v>1345</v>
      </c>
      <c r="D601" s="9" t="s">
        <v>1681</v>
      </c>
      <c r="E601" s="9" t="s">
        <v>11</v>
      </c>
      <c r="F601" s="9">
        <v>912643870</v>
      </c>
      <c r="G601" s="12">
        <v>21830636</v>
      </c>
      <c r="H601" s="9" t="s">
        <v>1723</v>
      </c>
      <c r="I601" t="str">
        <f t="shared" si="9"/>
        <v>('CONSUELO AVALOS SARAVIA DE PALOMINO','AVDA. 28 DE JULIO NRO. 909 - GROCIO PRADO','GROCIO PRADO','ZONA: GROCIO - MEJILLONEROS','912643870','21830636','Todos'),</v>
      </c>
    </row>
    <row r="602" spans="1:9">
      <c r="A602" s="2">
        <v>64</v>
      </c>
      <c r="B602" s="9" t="s">
        <v>1259</v>
      </c>
      <c r="C602" s="9" t="s">
        <v>1260</v>
      </c>
      <c r="D602" s="9" t="s">
        <v>1681</v>
      </c>
      <c r="E602" s="9" t="s">
        <v>317</v>
      </c>
      <c r="F602" s="9">
        <v>918717283</v>
      </c>
      <c r="G602" s="12">
        <v>21834851</v>
      </c>
      <c r="H602" s="9" t="s">
        <v>1723</v>
      </c>
      <c r="I602" t="str">
        <f t="shared" si="9"/>
        <v>('MAGALLANES ALMEYDA JUAN PABLO','PSJE. MAGALLANES - 26 - EL PORVENIR - GROCIO PRADO','GROCIO PRADO','ZONA: GROCIO - EL PORVENIR','918717283','21834851','Todos'),</v>
      </c>
    </row>
    <row r="603" spans="1:9">
      <c r="A603" s="2">
        <v>65</v>
      </c>
      <c r="B603" s="9" t="s">
        <v>1359</v>
      </c>
      <c r="C603" s="9" t="s">
        <v>1360</v>
      </c>
      <c r="D603" s="9" t="s">
        <v>1679</v>
      </c>
      <c r="E603" s="9" t="s">
        <v>596</v>
      </c>
      <c r="F603" s="9" t="s">
        <v>1361</v>
      </c>
      <c r="G603" s="12">
        <v>21835396</v>
      </c>
      <c r="H603" s="9" t="s">
        <v>1723</v>
      </c>
      <c r="I603" t="str">
        <f t="shared" si="9"/>
        <v>('MUNAYCO MATIAS WALTER','CL ICA N° 147 SUNAMPE ANTIGUO - SUNAMPE','SUNAMPE','ZONA: SUNAMPE – CALLE LIMA','931 237 317','21835396','Todos'),</v>
      </c>
    </row>
    <row r="604" spans="1:9">
      <c r="A604" s="2">
        <v>70</v>
      </c>
      <c r="B604" s="9" t="s">
        <v>366</v>
      </c>
      <c r="C604" s="9" t="s">
        <v>367</v>
      </c>
      <c r="D604" s="9" t="s">
        <v>1679</v>
      </c>
      <c r="E604" s="9" t="s">
        <v>22</v>
      </c>
      <c r="F604" s="9">
        <v>967858605</v>
      </c>
      <c r="G604" s="12">
        <v>21846038</v>
      </c>
      <c r="H604" s="9" t="s">
        <v>1723</v>
      </c>
      <c r="I604" t="str">
        <f t="shared" si="9"/>
        <v>('AVALOS ROJAS LUIS ALBERTO','Calle San Blas','SUNAMPE','ZONA: SUNAMPE – SAN PILPA','967858605','21846038','Todos'),</v>
      </c>
    </row>
    <row r="605" spans="1:9">
      <c r="A605" s="2">
        <v>71</v>
      </c>
      <c r="B605" s="9" t="s">
        <v>1293</v>
      </c>
      <c r="C605" s="9" t="s">
        <v>1294</v>
      </c>
      <c r="D605" s="9" t="s">
        <v>1679</v>
      </c>
      <c r="E605" s="9" t="s">
        <v>36</v>
      </c>
      <c r="F605" s="9">
        <v>952031848</v>
      </c>
      <c r="G605" s="12">
        <v>21846042</v>
      </c>
      <c r="H605" s="9" t="s">
        <v>1723</v>
      </c>
      <c r="I605" t="str">
        <f t="shared" si="9"/>
        <v>('MENDOZA DE ALMEYDA MARITZA','PSJE LA FRONTERA NRO. PUERTA 150-05 - C.P. LOMO LARGO - SUNAMPE','SUNAMPE','ZONA: SUNAMPE – PARAISO','952031848','21846042','Todos'),</v>
      </c>
    </row>
    <row r="606" spans="1:9">
      <c r="A606" s="2">
        <v>76</v>
      </c>
      <c r="B606" s="9" t="s">
        <v>1504</v>
      </c>
      <c r="C606" s="9" t="s">
        <v>1505</v>
      </c>
      <c r="D606" s="9" t="s">
        <v>1679</v>
      </c>
      <c r="E606" s="9" t="s">
        <v>135</v>
      </c>
      <c r="F606" s="9">
        <v>904529937</v>
      </c>
      <c r="G606" s="12">
        <v>21846612</v>
      </c>
      <c r="H606" s="9" t="s">
        <v>1723</v>
      </c>
      <c r="I606" t="str">
        <f t="shared" si="9"/>
        <v>('VICTOR HUGO MARQUEZ PASACHE','AV. PRINCIPAL S/N - C.P HUACA GRANDE - SUNAMPE','SUNAMPE','ZONA: SUNAMPE – HUACA GRANDE','904529937','21846612','Todos'),</v>
      </c>
    </row>
    <row r="607" spans="1:9">
      <c r="A607" s="2">
        <v>81</v>
      </c>
      <c r="B607" s="9" t="s">
        <v>1578</v>
      </c>
      <c r="C607" s="9" t="s">
        <v>1579</v>
      </c>
      <c r="D607" s="9" t="s">
        <v>1681</v>
      </c>
      <c r="E607" s="9" t="s">
        <v>1572</v>
      </c>
      <c r="F607" s="9">
        <v>945780584</v>
      </c>
      <c r="G607" s="12">
        <v>21847928</v>
      </c>
      <c r="H607" s="9" t="s">
        <v>1723</v>
      </c>
      <c r="I607" t="str">
        <f t="shared" si="9"/>
        <v>('DE LA CRUZ QUISPE FRANCISCO','Calle San Jose 103','GROCIO PRADO','Zona: GrocioPrado','945780584','21847928','Todos'),</v>
      </c>
    </row>
    <row r="608" spans="1:9">
      <c r="A608" s="2">
        <v>96</v>
      </c>
      <c r="B608" s="9" t="s">
        <v>1536</v>
      </c>
      <c r="C608" s="9" t="s">
        <v>1537</v>
      </c>
      <c r="D608" s="9" t="s">
        <v>1680</v>
      </c>
      <c r="E608" s="9" t="s">
        <v>710</v>
      </c>
      <c r="F608" s="9">
        <v>934181187</v>
      </c>
      <c r="G608" s="12">
        <v>21854339</v>
      </c>
      <c r="H608" s="9" t="s">
        <v>1723</v>
      </c>
      <c r="I608" t="str">
        <f t="shared" si="9"/>
        <v>('JENNY BEATRIZ LOZA JARRIN','AA. HH. SR. ASENCION DE CACHUY Nro. MZ-B-L-20 CHINCHA ALTACHINCHA','CHINCHA ALTA','ZONA: CHINCHA - AMERICA','934181187','21854339','Todos'),</v>
      </c>
    </row>
    <row r="609" spans="1:9">
      <c r="A609" s="2">
        <v>104</v>
      </c>
      <c r="B609" s="9" t="s">
        <v>1357</v>
      </c>
      <c r="C609" s="9" t="s">
        <v>1358</v>
      </c>
      <c r="D609" s="9" t="s">
        <v>1680</v>
      </c>
      <c r="E609" s="9" t="s">
        <v>19</v>
      </c>
      <c r="F609" s="9">
        <v>970113625</v>
      </c>
      <c r="G609" s="12">
        <v>21857504</v>
      </c>
      <c r="H609" s="9" t="s">
        <v>1723</v>
      </c>
      <c r="I609" t="str">
        <f t="shared" si="9"/>
        <v>('HERMAN ROBERT VELASCO MATOS','ALVA MAURTUA - 514 - MZ-P LT-SN CP. CRUZ BLANCA - CHINCHA ALTA','CHINCHA ALTA','ZONA: CRUZ BLANCA PARTE ALTA oruro','970113625','21857504','Todos'),</v>
      </c>
    </row>
    <row r="610" spans="1:9">
      <c r="A610" s="2">
        <v>109</v>
      </c>
      <c r="B610" s="9" t="s">
        <v>1303</v>
      </c>
      <c r="C610" s="9" t="s">
        <v>1304</v>
      </c>
      <c r="D610" s="9" t="s">
        <v>1680</v>
      </c>
      <c r="E610" s="9" t="s">
        <v>710</v>
      </c>
      <c r="F610" s="9">
        <v>945804342</v>
      </c>
      <c r="G610" s="12">
        <v>21860488</v>
      </c>
      <c r="H610" s="9" t="s">
        <v>1723</v>
      </c>
      <c r="I610" t="str">
        <f t="shared" si="9"/>
        <v>('MONJE VDA DE MESIAS ROXANA','PSJE REYES NRO. 165 (DOS PUENTES) - CHINCHA ALTA','CHINCHA ALTA','ZONA: CHINCHA - AMERICA','945804342','21860488','Todos'),</v>
      </c>
    </row>
    <row r="611" spans="1:9">
      <c r="A611" s="2">
        <v>119</v>
      </c>
      <c r="B611" s="9" t="s">
        <v>1278</v>
      </c>
      <c r="C611" s="9" t="s">
        <v>1279</v>
      </c>
      <c r="D611" s="9" t="s">
        <v>1679</v>
      </c>
      <c r="E611" s="9" t="s">
        <v>106</v>
      </c>
      <c r="F611" s="9">
        <v>941944410</v>
      </c>
      <c r="G611" s="12">
        <v>21864471</v>
      </c>
      <c r="H611" s="9" t="s">
        <v>1723</v>
      </c>
      <c r="I611" t="str">
        <f t="shared" si="9"/>
        <v>('DIAZ NOVA ANGELICA DEL CARMEN','AV. MINA DE ORO N° 360 - SUNAMPE','SUNAMPE','ZONA: SUNAMPE - MINA DE ORO','941944410','21864471','Todos'),</v>
      </c>
    </row>
    <row r="612" spans="1:9">
      <c r="A612" s="2">
        <v>132</v>
      </c>
      <c r="B612" s="9" t="s">
        <v>1554</v>
      </c>
      <c r="C612" s="9" t="s">
        <v>1555</v>
      </c>
      <c r="D612" s="9" t="s">
        <v>1682</v>
      </c>
      <c r="E612" s="9" t="s">
        <v>846</v>
      </c>
      <c r="F612" s="9">
        <v>943481294</v>
      </c>
      <c r="G612" s="12">
        <v>21867770</v>
      </c>
      <c r="H612" s="9" t="s">
        <v>1723</v>
      </c>
      <c r="I612" t="str">
        <f t="shared" si="9"/>
        <v>('IRIS ROSALINA RAMOS CASTILLA DE FAJARDO','UPIS KEIKO SOFIA F NRO. C-10 - PUEBLO NUEVO CHINCHA','PUEBLO NUEVO','ZONA: PUEBLO - SALVADOR','943481294','21867770','Todos'),</v>
      </c>
    </row>
    <row r="613" spans="1:9">
      <c r="A613" s="2">
        <v>135</v>
      </c>
      <c r="B613" s="9" t="s">
        <v>1527</v>
      </c>
      <c r="C613" s="9" t="s">
        <v>1528</v>
      </c>
      <c r="D613" s="9" t="s">
        <v>1682</v>
      </c>
      <c r="E613" s="9" t="s">
        <v>846</v>
      </c>
      <c r="F613" s="9">
        <v>946091022</v>
      </c>
      <c r="G613" s="12">
        <v>21868187</v>
      </c>
      <c r="H613" s="9" t="s">
        <v>1723</v>
      </c>
      <c r="I613" t="str">
        <f t="shared" si="9"/>
        <v>('JOVANA MARLENE SOTELO LUNA','MZNA R1 NRO. PUERTA 23 URB. LEON DE VIVERO - PUEBLO NUEVO','PUEBLO NUEVO','ZONA: PUEBLO - SALVADOR','946091022','21868187','Todos'),</v>
      </c>
    </row>
    <row r="614" spans="1:9">
      <c r="A614" s="2">
        <v>136</v>
      </c>
      <c r="B614" s="9" t="s">
        <v>1540</v>
      </c>
      <c r="C614" s="9" t="s">
        <v>1541</v>
      </c>
      <c r="D614" s="9" t="s">
        <v>1679</v>
      </c>
      <c r="E614" s="9" t="s">
        <v>8</v>
      </c>
      <c r="F614" s="9">
        <v>966334271</v>
      </c>
      <c r="G614" s="12">
        <v>21868301</v>
      </c>
      <c r="H614" s="9" t="s">
        <v>1723</v>
      </c>
      <c r="I614" t="str">
        <f t="shared" si="9"/>
        <v>('RAYMUNDO GONZALO BRAVO FARFAN','AVDA FATIMA LT. 37- SUNAMPE','SUNAMPE','ZONA: SUNAMPE – COLEGIO','966334271','21868301','Todos'),</v>
      </c>
    </row>
    <row r="615" spans="1:9">
      <c r="A615" s="2">
        <v>147</v>
      </c>
      <c r="B615" s="9" t="s">
        <v>1243</v>
      </c>
      <c r="C615" s="9" t="s">
        <v>1244</v>
      </c>
      <c r="D615" s="9" t="s">
        <v>1679</v>
      </c>
      <c r="E615" s="9" t="s">
        <v>718</v>
      </c>
      <c r="F615" s="9" t="s">
        <v>1245</v>
      </c>
      <c r="G615" s="12">
        <v>21870818</v>
      </c>
      <c r="H615" s="9" t="s">
        <v>1723</v>
      </c>
      <c r="I615" t="str">
        <f t="shared" si="9"/>
        <v>('CARBAJAL SARAVIA CARLOS WILLIAM','AV. SAN MARTIN, MZ O - LT. 12 - ANTIGUO SUNAMPE','SUNAMPE','ZONA: SUNAMPE – CHACARITA','934 210 395','21870818','Todos'),</v>
      </c>
    </row>
    <row r="616" spans="1:9">
      <c r="A616" s="2">
        <v>148</v>
      </c>
      <c r="B616" s="9" t="s">
        <v>1342</v>
      </c>
      <c r="C616" s="9" t="s">
        <v>1343</v>
      </c>
      <c r="D616" s="9" t="s">
        <v>1679</v>
      </c>
      <c r="E616" s="9" t="s">
        <v>718</v>
      </c>
      <c r="F616" s="9">
        <v>912471130</v>
      </c>
      <c r="G616" s="12">
        <v>21871491</v>
      </c>
      <c r="H616" s="9" t="s">
        <v>1723</v>
      </c>
      <c r="I616" t="str">
        <f t="shared" si="9"/>
        <v>('MORAN CASTRO FELIX LEONARDO','CL NICOLAS DE PIEROLA NRO. 183 - SUNAMPE, REF. FRENTE AL CONDOMINIO SAN MARTIN','SUNAMPE','ZONA: SUNAMPE – CHACARITA','912471130','21871491','Todos'),</v>
      </c>
    </row>
    <row r="617" spans="1:9">
      <c r="A617" s="2">
        <v>149</v>
      </c>
      <c r="B617" s="9" t="s">
        <v>1483</v>
      </c>
      <c r="C617" s="9" t="s">
        <v>1484</v>
      </c>
      <c r="D617" s="9" t="s">
        <v>1682</v>
      </c>
      <c r="E617" s="9" t="s">
        <v>846</v>
      </c>
      <c r="F617" s="9">
        <v>918460892</v>
      </c>
      <c r="G617" s="12">
        <v>21871581</v>
      </c>
      <c r="H617" s="9" t="s">
        <v>1723</v>
      </c>
      <c r="I617" t="str">
        <f t="shared" si="9"/>
        <v>('ESTELA QUISPE SANTIAGO','MZNA W NRO. PUERTA 04 UPIS KEIKO SOFIA FUJIMORI PUEBLO NUEVO','PUEBLO NUEVO','ZONA: PUEBLO - SALVADOR','918460892','21871581','Todos'),</v>
      </c>
    </row>
    <row r="618" spans="1:9">
      <c r="A618" s="2">
        <v>150</v>
      </c>
      <c r="B618" s="9" t="s">
        <v>1474</v>
      </c>
      <c r="C618" s="9" t="s">
        <v>1475</v>
      </c>
      <c r="D618" s="9" t="s">
        <v>1682</v>
      </c>
      <c r="E618" s="9" t="s">
        <v>846</v>
      </c>
      <c r="F618" s="9" t="s">
        <v>1476</v>
      </c>
      <c r="G618" s="12">
        <v>21873038</v>
      </c>
      <c r="H618" s="9" t="s">
        <v>1723</v>
      </c>
      <c r="I618" t="str">
        <f t="shared" si="9"/>
        <v>('WILIAM LINDER CHUQUISPUMA RAMIREZ','MZNA B Nro. Lote 05 , H.U. Los Pinos del Sur , GROCIO PRADO','PUEBLO NUEVO','ZONA: PUEBLO - SALVADOR','982 083 363','21873038','Todos'),</v>
      </c>
    </row>
    <row r="619" spans="1:9">
      <c r="A619" s="2">
        <v>155</v>
      </c>
      <c r="B619" s="9" t="s">
        <v>1309</v>
      </c>
      <c r="C619" s="9" t="s">
        <v>1310</v>
      </c>
      <c r="D619" s="9" t="s">
        <v>1679</v>
      </c>
      <c r="E619" s="9" t="s">
        <v>8</v>
      </c>
      <c r="F619" s="9" t="s">
        <v>1311</v>
      </c>
      <c r="G619" s="12">
        <v>21873758</v>
      </c>
      <c r="H619" s="9" t="s">
        <v>1723</v>
      </c>
      <c r="I619" t="str">
        <f t="shared" si="9"/>
        <v>('ROJAS RAMOS SONIA MAGALY','AVDA. FATIMA S/N - SUNAMPE','SUNAMPE','ZONA: SUNAMPE – COLEGIO','955 366 521','21873758','Todos'),</v>
      </c>
    </row>
    <row r="620" spans="1:9">
      <c r="A620" s="2">
        <v>162</v>
      </c>
      <c r="B620" s="9" t="s">
        <v>1288</v>
      </c>
      <c r="C620" s="9" t="s">
        <v>1289</v>
      </c>
      <c r="D620" s="9" t="s">
        <v>1679</v>
      </c>
      <c r="E620" s="9" t="s">
        <v>718</v>
      </c>
      <c r="F620" s="9">
        <v>954670384</v>
      </c>
      <c r="G620" s="12">
        <v>21876735</v>
      </c>
      <c r="H620" s="9" t="s">
        <v>1723</v>
      </c>
      <c r="I620" t="str">
        <f t="shared" si="9"/>
        <v>('AVALOS MENDOZA MARIA ESTHER','CL. JORGE CHAVEZ MZ. C - LT. 15 - CHACARITA - SUNAMPE','SUNAMPE','ZONA: SUNAMPE – CHACARITA','954670384','21876735','Todos'),</v>
      </c>
    </row>
    <row r="621" spans="1:9">
      <c r="A621" s="2">
        <v>171</v>
      </c>
      <c r="B621" s="9" t="s">
        <v>104</v>
      </c>
      <c r="C621" s="9" t="s">
        <v>105</v>
      </c>
      <c r="D621" s="9" t="s">
        <v>1679</v>
      </c>
      <c r="E621" s="9" t="s">
        <v>106</v>
      </c>
      <c r="F621" s="9">
        <v>923385901</v>
      </c>
      <c r="G621" s="12">
        <v>21879863</v>
      </c>
      <c r="H621" s="9" t="s">
        <v>1723</v>
      </c>
      <c r="I621" t="str">
        <f t="shared" si="9"/>
        <v>('MAGALLANES APOLAYA ENRIQUE JAVIER','AA.HH. LA UNION HACE LA FUERZA MZ. D LT. 05, MINA DE ORO - SUNAMPE','SUNAMPE','ZONA: SUNAMPE - MINA DE ORO','923385901','21879863','Todos'),</v>
      </c>
    </row>
    <row r="622" spans="1:9">
      <c r="A622" s="2">
        <v>176</v>
      </c>
      <c r="B622" s="9" t="s">
        <v>1671</v>
      </c>
      <c r="C622" s="9" t="s">
        <v>1672</v>
      </c>
      <c r="D622" s="9" t="s">
        <v>1682</v>
      </c>
      <c r="E622" s="9" t="s">
        <v>1582</v>
      </c>
      <c r="F622" s="9">
        <v>970308467</v>
      </c>
      <c r="G622" s="12">
        <v>21881364</v>
      </c>
      <c r="H622" s="9" t="s">
        <v>1723</v>
      </c>
      <c r="I622" t="str">
        <f t="shared" si="9"/>
        <v>('MAGALLANES CASTILLA ALEX WILFREDO','URB. JOSE OLIVA RAZZETO NRO. L - 11 - PUEBLO NUEVO','PUEBLO NUEVO','Zona: Rosedal','970308467','21881364','Todos'),</v>
      </c>
    </row>
    <row r="623" spans="1:9">
      <c r="A623" s="2">
        <v>188</v>
      </c>
      <c r="B623" s="9" t="s">
        <v>1353</v>
      </c>
      <c r="C623" s="9" t="s">
        <v>1354</v>
      </c>
      <c r="D623" s="9" t="s">
        <v>1680</v>
      </c>
      <c r="E623" s="9" t="s">
        <v>710</v>
      </c>
      <c r="F623" s="9">
        <v>997130640</v>
      </c>
      <c r="G623" s="12">
        <v>21884439</v>
      </c>
      <c r="H623" s="9" t="s">
        <v>1723</v>
      </c>
      <c r="I623" t="str">
        <f t="shared" si="9"/>
        <v>('JENNY ESTHER DE LA CRUZ MARCOS','PROLONG.SANTO DOMINGO 854-04 - CHINCHA ALTA','CHINCHA ALTA','ZONA: CHINCHA - AMERICA','997130640','21884439','Todos'),</v>
      </c>
    </row>
    <row r="624" spans="1:9">
      <c r="A624" s="2">
        <v>193</v>
      </c>
      <c r="B624" s="9" t="s">
        <v>1269</v>
      </c>
      <c r="C624" s="9" t="s">
        <v>1270</v>
      </c>
      <c r="D624" s="9" t="s">
        <v>1679</v>
      </c>
      <c r="E624" s="9" t="s">
        <v>230</v>
      </c>
      <c r="F624" s="9">
        <v>907538170</v>
      </c>
      <c r="G624" s="12">
        <v>21885325</v>
      </c>
      <c r="H624" s="9" t="s">
        <v>1723</v>
      </c>
      <c r="I624" t="str">
        <f t="shared" si="9"/>
        <v>('GUTIERREZ CASTILLA WALTHER ANTONIO','PSJE COCO 192 - C.P. MONTERRICO - SUNAMPE','SUNAMPE','ZONA: SUNAMPE – SIMON','907538170','21885325','Todos'),</v>
      </c>
    </row>
    <row r="625" spans="1:9">
      <c r="A625" s="2">
        <v>207</v>
      </c>
      <c r="B625" s="9" t="s">
        <v>139</v>
      </c>
      <c r="C625" s="9" t="s">
        <v>140</v>
      </c>
      <c r="D625" s="9" t="s">
        <v>1679</v>
      </c>
      <c r="E625" s="9" t="s">
        <v>2</v>
      </c>
      <c r="F625" s="9">
        <v>998862290</v>
      </c>
      <c r="G625" s="12">
        <v>28296257</v>
      </c>
      <c r="H625" s="9" t="s">
        <v>1723</v>
      </c>
      <c r="I625" t="str">
        <f t="shared" si="9"/>
        <v>('VENEGAS CHAUPIN PABLO','PSJE ALMEYDA Nro. Lote 134 27 Sin Barrio C.P. San Ignacio , SUNAMPE','SUNAMPE','ZONA: SUNAMPE – SAN IGNACIO','998862290','28296257','Todos'),</v>
      </c>
    </row>
    <row r="626" spans="1:9">
      <c r="A626" s="2">
        <v>219</v>
      </c>
      <c r="B626" s="9" t="s">
        <v>1477</v>
      </c>
      <c r="C626" s="9" t="s">
        <v>1478</v>
      </c>
      <c r="D626" s="9" t="s">
        <v>1679</v>
      </c>
      <c r="E626" s="9" t="s">
        <v>36</v>
      </c>
      <c r="F626" s="9">
        <v>997829222</v>
      </c>
      <c r="G626" s="12">
        <v>40203497</v>
      </c>
      <c r="H626" s="9" t="s">
        <v>1723</v>
      </c>
      <c r="I626" t="str">
        <f t="shared" si="9"/>
        <v>('HILDA GRACIELA TASAYCO ATUNCAR','AV.PARAISO 027','SUNAMPE','ZONA: SUNAMPE – PARAISO','997829222','40203497','Todos'),</v>
      </c>
    </row>
    <row r="627" spans="1:9">
      <c r="A627" s="2">
        <v>222</v>
      </c>
      <c r="B627" s="9" t="s">
        <v>1284</v>
      </c>
      <c r="C627" s="9" t="s">
        <v>1285</v>
      </c>
      <c r="D627" s="9" t="s">
        <v>1679</v>
      </c>
      <c r="E627" s="9" t="s">
        <v>8</v>
      </c>
      <c r="F627" s="9">
        <v>986174876</v>
      </c>
      <c r="G627" s="12">
        <v>40405047</v>
      </c>
      <c r="H627" s="9" t="s">
        <v>1723</v>
      </c>
      <c r="I627" t="str">
        <f t="shared" si="9"/>
        <v>('CHUMBIAUCA LOZA CECILIA','PSJE GUADALUPE MZ. H LT. 10 - C.P. HUACA GRANDE - SUNAMPE','SUNAMPE','ZONA: SUNAMPE – COLEGIO','986174876','40405047','Todos'),</v>
      </c>
    </row>
    <row r="628" spans="1:9">
      <c r="A628" s="2">
        <v>225</v>
      </c>
      <c r="B628" s="9" t="s">
        <v>1440</v>
      </c>
      <c r="C628" s="9" t="s">
        <v>1441</v>
      </c>
      <c r="D628" s="9" t="s">
        <v>1679</v>
      </c>
      <c r="E628" s="9" t="s">
        <v>106</v>
      </c>
      <c r="F628" s="9">
        <v>940960865</v>
      </c>
      <c r="G628" s="12">
        <v>40499955</v>
      </c>
      <c r="H628" s="9" t="s">
        <v>1723</v>
      </c>
      <c r="I628" t="str">
        <f t="shared" si="9"/>
        <v>('MONICA ESTHER PEÑALOZA DE LA CRUZ','AA. HH. EL MILAGRO DE SAN JUDAS TADEO MZ C - LT. 9 - SUNAMPE','SUNAMPE','ZONA: SUNAMPE - MINA DE ORO','940960865','40499955','Todos'),</v>
      </c>
    </row>
    <row r="629" spans="1:9">
      <c r="A629" s="2">
        <v>232</v>
      </c>
      <c r="B629" s="9" t="s">
        <v>1201</v>
      </c>
      <c r="C629" s="9" t="s">
        <v>1202</v>
      </c>
      <c r="D629" s="9" t="s">
        <v>1679</v>
      </c>
      <c r="E629" s="9" t="s">
        <v>5</v>
      </c>
      <c r="F629" s="9" t="s">
        <v>1203</v>
      </c>
      <c r="G629" s="12">
        <v>40676826</v>
      </c>
      <c r="H629" s="9" t="s">
        <v>1723</v>
      </c>
      <c r="I629" t="str">
        <f t="shared" si="9"/>
        <v>('SOTELO TASAYCO BRUCE YENSON','CL. EL PORVENIR Nª 104 - C.P. HUACA GRANDE - SUNAMPE','SUNAMPE','ZONA: SUNAMPE – SANTA ROSA','965 781 887','40676826','Todos'),</v>
      </c>
    </row>
    <row r="630" spans="1:9">
      <c r="A630" s="2">
        <v>239</v>
      </c>
      <c r="B630" s="9" t="s">
        <v>1522</v>
      </c>
      <c r="C630" s="9" t="s">
        <v>1523</v>
      </c>
      <c r="D630" s="9" t="s">
        <v>1679</v>
      </c>
      <c r="E630" s="9" t="s">
        <v>22</v>
      </c>
      <c r="F630" s="9">
        <v>983517587</v>
      </c>
      <c r="G630" s="12">
        <v>40815158</v>
      </c>
      <c r="H630" s="9" t="s">
        <v>1723</v>
      </c>
      <c r="I630" t="str">
        <f t="shared" si="9"/>
        <v>('VERONICA DEL PILAR ATUNCAR MUNAYCO','PSJE SANTA ROSA LT. 01 - SUNAMPE ANTIGUO -SUNAMPE','SUNAMPE','ZONA: SUNAMPE – SAN PILPA','983517587','40815158','Todos'),</v>
      </c>
    </row>
    <row r="631" spans="1:9">
      <c r="A631" s="2">
        <v>248</v>
      </c>
      <c r="B631" s="9" t="s">
        <v>1395</v>
      </c>
      <c r="C631" s="9" t="s">
        <v>1396</v>
      </c>
      <c r="D631" s="9" t="s">
        <v>1680</v>
      </c>
      <c r="E631" s="9" t="s">
        <v>27</v>
      </c>
      <c r="F631" s="9">
        <v>947336454</v>
      </c>
      <c r="G631" s="12">
        <v>40975420</v>
      </c>
      <c r="H631" s="9" t="s">
        <v>1723</v>
      </c>
      <c r="I631" t="str">
        <f t="shared" si="9"/>
        <v>('CRISTIAN MISTOR TORRES MARCOS','PSJE ALVA MAURTUA NRO. 132 INT. 8 - C.P. CRUZ BLANCA - CHINCHA ALTA','CHINCHA ALTA','ZONA: CRUZ BLANCA PARTE BAJA','947336454','40975420','Todos'),</v>
      </c>
    </row>
    <row r="632" spans="1:9">
      <c r="A632" s="2">
        <v>249</v>
      </c>
      <c r="B632" s="9" t="s">
        <v>817</v>
      </c>
      <c r="C632" s="9" t="s">
        <v>818</v>
      </c>
      <c r="D632" s="9" t="s">
        <v>1680</v>
      </c>
      <c r="E632" s="9" t="s">
        <v>710</v>
      </c>
      <c r="F632" s="9">
        <v>939110955</v>
      </c>
      <c r="G632" s="12">
        <v>41004962</v>
      </c>
      <c r="H632" s="9" t="s">
        <v>1723</v>
      </c>
      <c r="I632" t="str">
        <f t="shared" si="9"/>
        <v>('CARBAJAL HERRERA PABLO ADOLFO','AV. VICTORIA N341 - CRUZ BLANCA','CHINCHA ALTA','ZONA: CHINCHA - AMERICA','939110955','41004962','Todos'),</v>
      </c>
    </row>
    <row r="633" spans="1:9">
      <c r="A633" s="2">
        <v>250</v>
      </c>
      <c r="B633" s="9" t="s">
        <v>1276</v>
      </c>
      <c r="C633" s="9" t="s">
        <v>1277</v>
      </c>
      <c r="D633" s="9" t="s">
        <v>1681</v>
      </c>
      <c r="E633" s="9" t="s">
        <v>846</v>
      </c>
      <c r="F633" s="9">
        <v>953607996</v>
      </c>
      <c r="G633" s="12">
        <v>41004968</v>
      </c>
      <c r="H633" s="9" t="s">
        <v>1723</v>
      </c>
      <c r="I633" t="str">
        <f t="shared" si="9"/>
        <v>('SOTELO LUNA MIRIAN SANDRA','URB. LEON DE VIVERO MZ 01 LT. 23 - PUEBLO NUEVO','GROCIO PRADO','ZONA: PUEBLO - SALVADOR','953607996','41004968','Todos'),</v>
      </c>
    </row>
    <row r="634" spans="1:9">
      <c r="A634" s="2">
        <v>268</v>
      </c>
      <c r="B634" s="9" t="s">
        <v>1338</v>
      </c>
      <c r="C634" s="9" t="s">
        <v>1339</v>
      </c>
      <c r="D634" s="9" t="s">
        <v>1679</v>
      </c>
      <c r="E634" s="9" t="s">
        <v>36</v>
      </c>
      <c r="F634" s="9">
        <v>938140936</v>
      </c>
      <c r="G634" s="12">
        <v>41314183</v>
      </c>
      <c r="H634" s="9" t="s">
        <v>1723</v>
      </c>
      <c r="I634" t="str">
        <f t="shared" si="9"/>
        <v>('TAYPE BONIFACIO EDITH ROSARIO','PSJE GERANIOS NRO. 14 - C.P. LOMO LARGO - SUNAMPE','SUNAMPE','ZONA: SUNAMPE – PARAISO','938140936','41314183','Todos'),</v>
      </c>
    </row>
    <row r="635" spans="1:9">
      <c r="A635" s="2">
        <v>270</v>
      </c>
      <c r="B635" s="9" t="s">
        <v>1204</v>
      </c>
      <c r="C635" s="9" t="s">
        <v>1205</v>
      </c>
      <c r="D635" s="9" t="s">
        <v>1679</v>
      </c>
      <c r="E635" s="9" t="s">
        <v>718</v>
      </c>
      <c r="F635" s="9">
        <v>966615223</v>
      </c>
      <c r="G635" s="12">
        <v>41379748</v>
      </c>
      <c r="H635" s="9" t="s">
        <v>1723</v>
      </c>
      <c r="I635" t="str">
        <f t="shared" si="9"/>
        <v>('RAMIREZ RONCEROS YSMELDA YSABEL','CL. LAS FLORES Nª 212 - C.P. CHACARITA - SUNAMPE','SUNAMPE','ZONA: SUNAMPE – CHACARITA','966615223','41379748','Todos'),</v>
      </c>
    </row>
    <row r="636" spans="1:9">
      <c r="A636" s="2">
        <v>271</v>
      </c>
      <c r="B636" s="9" t="s">
        <v>1498</v>
      </c>
      <c r="C636" s="9" t="s">
        <v>1499</v>
      </c>
      <c r="D636" s="9" t="s">
        <v>1681</v>
      </c>
      <c r="E636" s="9" t="s">
        <v>317</v>
      </c>
      <c r="F636" s="9">
        <v>942533604</v>
      </c>
      <c r="G636" s="12">
        <v>41379751</v>
      </c>
      <c r="H636" s="9" t="s">
        <v>1723</v>
      </c>
      <c r="I636" t="str">
        <f t="shared" si="9"/>
        <v>('EDGAR EDUARDO AVALOS SARAVIA','PSJE SARAVIA S/N - BARRIO EL PORVENIR - GROCIO PRA','GROCIO PRADO','ZONA: GROCIO - EL PORVENIR','942533604','41379751','Todos'),</v>
      </c>
    </row>
    <row r="637" spans="1:9">
      <c r="A637" s="2">
        <v>294</v>
      </c>
      <c r="B637" s="9" t="s">
        <v>1346</v>
      </c>
      <c r="C637" s="9" t="s">
        <v>1347</v>
      </c>
      <c r="D637" s="9" t="s">
        <v>1680</v>
      </c>
      <c r="E637" s="9" t="s">
        <v>710</v>
      </c>
      <c r="F637" s="9">
        <v>981972951</v>
      </c>
      <c r="G637" s="12">
        <v>41731389</v>
      </c>
      <c r="H637" s="9" t="s">
        <v>1723</v>
      </c>
      <c r="I637" t="str">
        <f t="shared" si="9"/>
        <v>('CASTILLA DE LA CRUZ HECTOR LUIS','CL DOS PUENTES NRO. 128-02 - CERCADO DE CHINCHA - CHINCHA ALTA','CHINCHA ALTA','ZONA: CHINCHA - AMERICA','981972951','41731389','Todos'),</v>
      </c>
    </row>
    <row r="638" spans="1:9">
      <c r="A638" s="2">
        <v>302</v>
      </c>
      <c r="B638" s="9" t="s">
        <v>1466</v>
      </c>
      <c r="C638" s="9" t="s">
        <v>1467</v>
      </c>
      <c r="D638" s="9" t="s">
        <v>1682</v>
      </c>
      <c r="E638" s="9" t="s">
        <v>1257</v>
      </c>
      <c r="F638" s="9">
        <v>943202544</v>
      </c>
      <c r="G638" s="12">
        <v>41845232</v>
      </c>
      <c r="H638" s="9" t="s">
        <v>1723</v>
      </c>
      <c r="I638" t="str">
        <f t="shared" si="9"/>
        <v>('JOSE MIGUEL MESIAS TASAYCO','JRN LUIS ALVA MAURTUA Nro. Puerta 506 A Sin Barrio Cercado Pueblo Nuevo , PUEBLO NUEVO','PUEBLO NUEVO','ZONA: PUEBLO - LAS AMERICAS','943202544','41845232','Todos'),</v>
      </c>
    </row>
    <row r="639" spans="1:9">
      <c r="A639" s="2">
        <v>313</v>
      </c>
      <c r="B639" s="9" t="s">
        <v>555</v>
      </c>
      <c r="C639" s="9" t="s">
        <v>556</v>
      </c>
      <c r="D639" s="9" t="s">
        <v>1680</v>
      </c>
      <c r="E639" s="9" t="s">
        <v>90</v>
      </c>
      <c r="F639" s="9">
        <v>913790329</v>
      </c>
      <c r="G639" s="12">
        <v>41996473</v>
      </c>
      <c r="H639" s="9" t="s">
        <v>1723</v>
      </c>
      <c r="I639" t="str">
        <f t="shared" si="9"/>
        <v>('SALDAÑA CHUQUISPUMA SARA LUZ','MZNA Y NRO. LOTE 2 SIN BARRIO C. P. CONDORILLO ALTO - CHINCHA ALTA','CHINCHA ALTA','ZONA: CONDORILLO PARTE ALTA','913790329','41996473','Todos'),</v>
      </c>
    </row>
    <row r="640" spans="1:9">
      <c r="A640" s="2">
        <v>327</v>
      </c>
      <c r="B640" s="9" t="s">
        <v>1355</v>
      </c>
      <c r="C640" s="9" t="s">
        <v>1356</v>
      </c>
      <c r="D640" s="9" t="s">
        <v>1682</v>
      </c>
      <c r="E640" s="9" t="s">
        <v>846</v>
      </c>
      <c r="F640" s="9">
        <v>945513880</v>
      </c>
      <c r="G640" s="12">
        <v>42434792</v>
      </c>
      <c r="H640" s="9" t="s">
        <v>1723</v>
      </c>
      <c r="I640" t="str">
        <f t="shared" si="9"/>
        <v>('ELIZABETH YAURI CANDIOTTE','UPIS KEIKO SOFIA FUJIMORI MZ. T - LT. 06 - PUEBLO NUEVO','PUEBLO NUEVO','ZONA: PUEBLO - SALVADOR','945513880','42434792','Todos'),</v>
      </c>
    </row>
    <row r="641" spans="1:9">
      <c r="A641" s="2">
        <v>329</v>
      </c>
      <c r="B641" s="9" t="s">
        <v>1389</v>
      </c>
      <c r="C641" s="9" t="s">
        <v>1390</v>
      </c>
      <c r="D641" s="9" t="s">
        <v>1682</v>
      </c>
      <c r="E641" s="9" t="s">
        <v>846</v>
      </c>
      <c r="F641" s="9">
        <v>944134285</v>
      </c>
      <c r="G641" s="12">
        <v>42506714</v>
      </c>
      <c r="H641" s="9" t="s">
        <v>1723</v>
      </c>
      <c r="I641" t="str">
        <f t="shared" si="9"/>
        <v>('CARLOS ENRIQUE AVALOS TASAYCO','AA. HH. MIGUEL GRAU MZ. C - PUERTA 15 - PUEBLO NUEVO','PUEBLO NUEVO','ZONA: PUEBLO - SALVADOR','944134285','42506714','Todos'),</v>
      </c>
    </row>
    <row r="642" spans="1:9">
      <c r="A642" s="2">
        <v>332</v>
      </c>
      <c r="B642" s="9" t="s">
        <v>1615</v>
      </c>
      <c r="C642" s="9" t="s">
        <v>1616</v>
      </c>
      <c r="D642" s="9" t="s">
        <v>1682</v>
      </c>
      <c r="E642" s="9" t="s">
        <v>1610</v>
      </c>
      <c r="F642" s="9" t="s">
        <v>1617</v>
      </c>
      <c r="G642" s="12">
        <v>42522787</v>
      </c>
      <c r="H642" s="9" t="s">
        <v>1723</v>
      </c>
      <c r="I642" t="str">
        <f t="shared" si="9"/>
        <v>('HUAYTA LEYVA CARMEN','MZNA Z2 Nro. Lote 17, Amp. Señor de Los Milagros - CHINCHA','PUEBLO NUEVO','Zona:  SrMilagros','974 966 848','42522787','Todos'),</v>
      </c>
    </row>
    <row r="643" spans="1:9">
      <c r="A643" s="2">
        <v>333</v>
      </c>
      <c r="B643" s="9" t="s">
        <v>1250</v>
      </c>
      <c r="C643" s="9" t="s">
        <v>1251</v>
      </c>
      <c r="D643" s="9" t="s">
        <v>1679</v>
      </c>
      <c r="E643" s="9" t="s">
        <v>22</v>
      </c>
      <c r="F643" s="9">
        <v>992008034</v>
      </c>
      <c r="G643" s="12">
        <v>42557418</v>
      </c>
      <c r="H643" s="9" t="s">
        <v>1723</v>
      </c>
      <c r="I643" t="str">
        <f t="shared" ref="I643:I706" si="10">"('"&amp;B643&amp;"','"&amp;C643&amp;"','"&amp;D643&amp;"','"&amp;E643&amp;"','"&amp;F643&amp;"','"&amp;G643&amp;"','"&amp;H643&amp;"'),"</f>
        <v>('SALVADOR TORRES SANDRA MILAGROS','CL. SAN VICENTE DE FERRER LT. 02, PSJ. 08 - C.P. SAN PEDRO DE PILPA - SUNAMPE','SUNAMPE','ZONA: SUNAMPE – SAN PILPA','992008034','42557418','Todos'),</v>
      </c>
    </row>
    <row r="644" spans="1:9">
      <c r="A644" s="2">
        <v>341</v>
      </c>
      <c r="B644" s="9" t="s">
        <v>1414</v>
      </c>
      <c r="C644" s="9" t="s">
        <v>1415</v>
      </c>
      <c r="D644" s="9" t="s">
        <v>1679</v>
      </c>
      <c r="E644" s="9" t="s">
        <v>22</v>
      </c>
      <c r="F644" s="9">
        <v>934515158</v>
      </c>
      <c r="G644" s="12">
        <v>42768413</v>
      </c>
      <c r="H644" s="9" t="s">
        <v>1723</v>
      </c>
      <c r="I644" t="str">
        <f t="shared" si="10"/>
        <v>('LIDIA YOVANA CRISOSTOMO SARAVIA','PSJE SAN BLAS - CALLE A LT. 2 - ALFONSO UGARTE NORTE - SUNAMPE','SUNAMPE','ZONA: SUNAMPE – SAN PILPA','934515158','42768413','Todos'),</v>
      </c>
    </row>
    <row r="645" spans="1:9">
      <c r="A645" s="2">
        <v>349</v>
      </c>
      <c r="B645" s="9" t="s">
        <v>1496</v>
      </c>
      <c r="C645" s="9" t="s">
        <v>1497</v>
      </c>
      <c r="D645" s="9" t="s">
        <v>1679</v>
      </c>
      <c r="E645" s="9" t="s">
        <v>106</v>
      </c>
      <c r="F645" s="9">
        <v>901173825</v>
      </c>
      <c r="G645" s="12">
        <v>43031430</v>
      </c>
      <c r="H645" s="9" t="s">
        <v>1723</v>
      </c>
      <c r="I645" t="str">
        <f t="shared" si="10"/>
        <v>('ROXANA LUZ CABEZAS LOPEZ','CP. MINA DE ORO - AA.HH. FLORES DE MINA MZ. A LT. 10 - SUNAMPE','SUNAMPE','ZONA: SUNAMPE - MINA DE ORO','901173825','43031430','Todos'),</v>
      </c>
    </row>
    <row r="646" spans="1:9">
      <c r="A646" s="2">
        <v>352</v>
      </c>
      <c r="B646" s="9" t="s">
        <v>675</v>
      </c>
      <c r="C646" s="9" t="s">
        <v>676</v>
      </c>
      <c r="D646" s="9" t="s">
        <v>1679</v>
      </c>
      <c r="E646" s="9" t="s">
        <v>106</v>
      </c>
      <c r="F646" s="9">
        <v>954880763</v>
      </c>
      <c r="G646" s="12">
        <v>43083022</v>
      </c>
      <c r="H646" s="9" t="s">
        <v>1723</v>
      </c>
      <c r="I646" t="str">
        <f t="shared" si="10"/>
        <v>('TORRES BELLEZA SAYRA ELIZABETH','Psj Sucre espalda del estadio mina de oro','SUNAMPE','ZONA: SUNAMPE - MINA DE ORO','954880763','43083022','Todos'),</v>
      </c>
    </row>
    <row r="647" spans="1:9">
      <c r="A647" s="2">
        <v>374</v>
      </c>
      <c r="B647" s="9" t="s">
        <v>1451</v>
      </c>
      <c r="C647" s="9" t="s">
        <v>1725</v>
      </c>
      <c r="D647" s="9" t="s">
        <v>1680</v>
      </c>
      <c r="E647" s="9" t="s">
        <v>126</v>
      </c>
      <c r="F647" s="9">
        <v>934618243</v>
      </c>
      <c r="G647" s="12">
        <v>43593216</v>
      </c>
      <c r="H647" s="9" t="s">
        <v>1723</v>
      </c>
      <c r="I647" t="str">
        <f t="shared" si="10"/>
        <v>('MARIA ROSA RODRIGUEZ GONZALES','No especificado','CHINCHA ALTA','ZONA: CRUZ BLANCA VIRGEN CARMEN','934618243','43593216','Todos'),</v>
      </c>
    </row>
    <row r="648" spans="1:9">
      <c r="A648" s="2">
        <v>380</v>
      </c>
      <c r="B648" s="9" t="s">
        <v>1546</v>
      </c>
      <c r="C648" s="9" t="s">
        <v>1547</v>
      </c>
      <c r="D648" s="9" t="s">
        <v>1682</v>
      </c>
      <c r="E648" s="9" t="s">
        <v>1106</v>
      </c>
      <c r="F648" s="9">
        <v>924120953</v>
      </c>
      <c r="G648" s="12">
        <v>43730793</v>
      </c>
      <c r="H648" s="9" t="s">
        <v>1723</v>
      </c>
      <c r="I648" t="str">
        <f t="shared" si="10"/>
        <v>('GREGORIO ANTONIO LEVANO RAMIREZ','ROSARIO 503','PUEBLO NUEVO','ZONA: PUEBLO - TECHO PROPIO','924120953','43730793','Todos'),</v>
      </c>
    </row>
    <row r="649" spans="1:9">
      <c r="A649" s="2">
        <v>382</v>
      </c>
      <c r="B649" s="9" t="s">
        <v>1328</v>
      </c>
      <c r="C649" s="9" t="s">
        <v>1329</v>
      </c>
      <c r="D649" s="9" t="s">
        <v>1680</v>
      </c>
      <c r="E649" s="9" t="s">
        <v>27</v>
      </c>
      <c r="F649" s="9">
        <v>966400170</v>
      </c>
      <c r="G649" s="12">
        <v>43904606</v>
      </c>
      <c r="H649" s="9" t="s">
        <v>1723</v>
      </c>
      <c r="I649" t="str">
        <f t="shared" si="10"/>
        <v>('MANRIQUE GUERRA ANAIS GIOVANA','C.P. CONDORILLO ALTO MZ. I LOTE 10 - CHINCHA ALTA','CHINCHA ALTA','ZONA: CRUZ BLANCA PARTE BAJA','966400170','43904606','Todos'),</v>
      </c>
    </row>
    <row r="650" spans="1:9">
      <c r="A650" s="2">
        <v>391</v>
      </c>
      <c r="B650" s="9" t="s">
        <v>1454</v>
      </c>
      <c r="C650" s="9" t="s">
        <v>1455</v>
      </c>
      <c r="D650" s="9" t="s">
        <v>1679</v>
      </c>
      <c r="E650" s="9" t="s">
        <v>8</v>
      </c>
      <c r="F650" s="9">
        <v>956521517</v>
      </c>
      <c r="G650" s="12">
        <v>44085244</v>
      </c>
      <c r="H650" s="9" t="s">
        <v>1723</v>
      </c>
      <c r="I650" t="str">
        <f t="shared" si="10"/>
        <v>('JOSE DAVID TASAYCO MATIAS','AVDA ALFONSO UGARTE Nro. Puerta 331 08 Antiguo Sunampe - SUNAMPE','SUNAMPE','ZONA: SUNAMPE – COLEGIO','956521517','44085244','Todos'),</v>
      </c>
    </row>
    <row r="651" spans="1:9">
      <c r="A651" s="2">
        <v>393</v>
      </c>
      <c r="B651" s="9" t="s">
        <v>1550</v>
      </c>
      <c r="C651" s="9" t="s">
        <v>1551</v>
      </c>
      <c r="D651" s="9" t="s">
        <v>1679</v>
      </c>
      <c r="E651" s="9" t="s">
        <v>2</v>
      </c>
      <c r="F651" s="9">
        <v>934962269</v>
      </c>
      <c r="G651" s="12">
        <v>44173471</v>
      </c>
      <c r="H651" s="9" t="s">
        <v>1723</v>
      </c>
      <c r="I651" t="str">
        <f t="shared" si="10"/>
        <v>('EDUARDO ALEXANDER FLORES GONZALES','PSJE NAPA Nro. Casa 117 13 Sin Barrio C.P. San Ignacio','SUNAMPE','ZONA: SUNAMPE – SAN IGNACIO','934962269','44173471','Todos'),</v>
      </c>
    </row>
    <row r="652" spans="1:9">
      <c r="A652" s="2">
        <v>397</v>
      </c>
      <c r="B652" s="9" t="s">
        <v>388</v>
      </c>
      <c r="C652" s="9" t="s">
        <v>389</v>
      </c>
      <c r="D652" s="9" t="s">
        <v>1680</v>
      </c>
      <c r="E652" s="9" t="s">
        <v>19</v>
      </c>
      <c r="F652" s="9">
        <v>949474917</v>
      </c>
      <c r="G652" s="12">
        <v>44221625</v>
      </c>
      <c r="H652" s="9" t="s">
        <v>1723</v>
      </c>
      <c r="I652" t="str">
        <f t="shared" si="10"/>
        <v>('VENTURA SALDAÑA JUISSELLA','psj. jose olaya cruz blanca','CHINCHA ALTA','ZONA: CRUZ BLANCA PARTE ALTA oruro','949474917','44221625','Todos'),</v>
      </c>
    </row>
    <row r="653" spans="1:9">
      <c r="A653" s="2">
        <v>398</v>
      </c>
      <c r="B653" s="9" t="s">
        <v>543</v>
      </c>
      <c r="C653" s="9" t="s">
        <v>544</v>
      </c>
      <c r="D653" s="9" t="s">
        <v>1679</v>
      </c>
      <c r="E653" s="9" t="s">
        <v>71</v>
      </c>
      <c r="F653" s="9">
        <v>926265816</v>
      </c>
      <c r="G653" s="12">
        <v>44249106</v>
      </c>
      <c r="H653" s="9" t="s">
        <v>1723</v>
      </c>
      <c r="I653" t="str">
        <f t="shared" si="10"/>
        <v>('TASAYCO LOPEZ CARMEN DEL ROSARIO','Calle Santa Teresa Lt. 8 (en la misma tienda chipana)','SUNAMPE','ZONA: SUNAMPE – SANTA FE','926265816','44249106','Todos'),</v>
      </c>
    </row>
    <row r="654" spans="1:9">
      <c r="A654" s="2">
        <v>399</v>
      </c>
      <c r="B654" s="9" t="s">
        <v>1362</v>
      </c>
      <c r="C654" s="9" t="s">
        <v>1363</v>
      </c>
      <c r="D654" s="9" t="s">
        <v>1680</v>
      </c>
      <c r="E654" s="9" t="s">
        <v>710</v>
      </c>
      <c r="F654" s="9">
        <v>971812626</v>
      </c>
      <c r="G654" s="12">
        <v>44249110</v>
      </c>
      <c r="H654" s="9" t="s">
        <v>1723</v>
      </c>
      <c r="I654" t="str">
        <f t="shared" si="10"/>
        <v>('ALEXI XAVIER ATUNCAR MENESES','PSJ. LETICIA N°990 - PANAMERICANA SUR (COSTA. BATAN) - CHINCHA','CHINCHA ALTA','ZONA: CHINCHA - AMERICA','971812626','44249110','Todos'),</v>
      </c>
    </row>
    <row r="655" spans="1:9">
      <c r="A655" s="2">
        <v>400</v>
      </c>
      <c r="B655" s="9" t="s">
        <v>386</v>
      </c>
      <c r="C655" s="9" t="s">
        <v>387</v>
      </c>
      <c r="D655" s="9" t="s">
        <v>1680</v>
      </c>
      <c r="E655" s="9" t="s">
        <v>99</v>
      </c>
      <c r="F655" s="9">
        <v>941846283</v>
      </c>
      <c r="G655" s="12">
        <v>44310344</v>
      </c>
      <c r="H655" s="9" t="s">
        <v>1723</v>
      </c>
      <c r="I655" t="str">
        <f t="shared" si="10"/>
        <v>('HERRERA MARTINEZ LUZ MILAGROS','Psj. Union Santa rosa  Cruz Blanca','CHINCHA ALTA','ZONA: CRUZ BLANCA CAMPO','941846283','44310344','Todos'),</v>
      </c>
    </row>
    <row r="656" spans="1:9">
      <c r="A656" s="2">
        <v>402</v>
      </c>
      <c r="B656" s="9" t="s">
        <v>1512</v>
      </c>
      <c r="C656" s="9" t="s">
        <v>1513</v>
      </c>
      <c r="D656" s="9" t="s">
        <v>1679</v>
      </c>
      <c r="E656" s="9" t="s">
        <v>5</v>
      </c>
      <c r="F656" s="9">
        <v>907158395</v>
      </c>
      <c r="G656" s="12">
        <v>44330159</v>
      </c>
      <c r="H656" s="9" t="s">
        <v>1723</v>
      </c>
      <c r="I656" t="str">
        <f t="shared" si="10"/>
        <v>('CARMEN LIDIA CRISOSTOMO SARAVIA','PSJE SAN GREGORIO Nro. Puerta 05 Sunampe Antiguo SUNAMPE','SUNAMPE','ZONA: SUNAMPE – SANTA ROSA','907158395','44330159','Todos'),</v>
      </c>
    </row>
    <row r="657" spans="1:9">
      <c r="A657" s="2">
        <v>409</v>
      </c>
      <c r="B657" s="9" t="s">
        <v>1542</v>
      </c>
      <c r="C657" s="9" t="s">
        <v>1543</v>
      </c>
      <c r="D657" s="9" t="s">
        <v>1679</v>
      </c>
      <c r="E657" s="9" t="s">
        <v>22</v>
      </c>
      <c r="F657" s="9">
        <v>995193384</v>
      </c>
      <c r="G657" s="12">
        <v>44503889</v>
      </c>
      <c r="H657" s="9" t="s">
        <v>1723</v>
      </c>
      <c r="I657" t="str">
        <f t="shared" si="10"/>
        <v>('JOSE CARLOS DE LA CRUZ ALMEYDA','PSJE SAN JUAN Nro. Casa 172 03 Sin Barrio Alfonso Ugarte Norte, SUNAMPE','SUNAMPE','ZONA: SUNAMPE – SAN PILPA','995193384','44503889','Todos'),</v>
      </c>
    </row>
    <row r="658" spans="1:9">
      <c r="A658" s="2">
        <v>418</v>
      </c>
      <c r="B658" s="9" t="s">
        <v>1442</v>
      </c>
      <c r="C658" s="9" t="s">
        <v>1443</v>
      </c>
      <c r="D658" s="9" t="s">
        <v>1679</v>
      </c>
      <c r="E658" s="9" t="s">
        <v>36</v>
      </c>
      <c r="F658" s="9">
        <v>960329843</v>
      </c>
      <c r="G658" s="12">
        <v>44699542</v>
      </c>
      <c r="H658" s="9" t="s">
        <v>1723</v>
      </c>
      <c r="I658" t="str">
        <f t="shared" si="10"/>
        <v>('LIZBETH CRISOSTOMO PACHAS','PSJE AMORETTI NRO. PUERTA 588 SUB. 03 SIN BARRIO - SUNAMPE ANTIGUO, SUNAMPE','SUNAMPE','ZONA: SUNAMPE – PARAISO','960329843','44699542','Todos'),</v>
      </c>
    </row>
    <row r="659" spans="1:9">
      <c r="A659" s="2">
        <v>422</v>
      </c>
      <c r="B659" s="9" t="s">
        <v>1485</v>
      </c>
      <c r="C659" s="9" t="s">
        <v>1486</v>
      </c>
      <c r="D659" s="9" t="s">
        <v>1679</v>
      </c>
      <c r="E659" s="9" t="s">
        <v>22</v>
      </c>
      <c r="F659" s="9">
        <v>995250126</v>
      </c>
      <c r="G659" s="12">
        <v>44773852</v>
      </c>
      <c r="H659" s="9" t="s">
        <v>1723</v>
      </c>
      <c r="I659" t="str">
        <f t="shared" si="10"/>
        <v>('CHRISTIAN NADIR ESTRADA QUINTO','AVDA SAN RAFAEL Nro. Tapa Medidor 96029917 0 Barrio Melchorita II GROCIO PRADO','SUNAMPE','ZONA: SUNAMPE – SAN PILPA','995250126','44773852','Todos'),</v>
      </c>
    </row>
    <row r="660" spans="1:9">
      <c r="A660" s="2">
        <v>437</v>
      </c>
      <c r="B660" s="9" t="s">
        <v>562</v>
      </c>
      <c r="C660" s="9" t="s">
        <v>563</v>
      </c>
      <c r="D660" s="9" t="s">
        <v>1679</v>
      </c>
      <c r="E660" s="9" t="s">
        <v>2</v>
      </c>
      <c r="F660" s="9">
        <v>964970347</v>
      </c>
      <c r="G660" s="12">
        <v>45123508</v>
      </c>
      <c r="H660" s="9" t="s">
        <v>1723</v>
      </c>
      <c r="I660" t="str">
        <f t="shared" si="10"/>
        <v>('AVALOS MENDOZA YENY LISSET','AVDA HUASCAR Nro. Lote 3 MZ D1 Sin Barrio C.P. San Ignacio , SUNAMPE','SUNAMPE','ZONA: SUNAMPE – SAN IGNACIO','964970347','45123508','Todos'),</v>
      </c>
    </row>
    <row r="661" spans="1:9">
      <c r="A661" s="2">
        <v>444</v>
      </c>
      <c r="B661" s="9" t="s">
        <v>1248</v>
      </c>
      <c r="C661" s="9" t="s">
        <v>1249</v>
      </c>
      <c r="D661" s="9" t="s">
        <v>1680</v>
      </c>
      <c r="E661" s="9" t="s">
        <v>126</v>
      </c>
      <c r="F661" s="9" t="s">
        <v>1725</v>
      </c>
      <c r="G661" s="12">
        <v>45247751</v>
      </c>
      <c r="H661" s="9" t="s">
        <v>1723</v>
      </c>
      <c r="I661" t="str">
        <f t="shared" si="10"/>
        <v>('GARCIA GARCIA SERGIO ALEXANDER','ALVA MAURTUA MZ-SN LT 01 - UR. TOMA DE CALA - CHINCHA ALTA','CHINCHA ALTA','ZONA: CRUZ BLANCA VIRGEN CARMEN','No especificado','45247751','Todos'),</v>
      </c>
    </row>
    <row r="662" spans="1:9">
      <c r="A662" s="2">
        <v>447</v>
      </c>
      <c r="B662" s="9" t="s">
        <v>137</v>
      </c>
      <c r="C662" s="9" t="s">
        <v>138</v>
      </c>
      <c r="D662" s="9" t="s">
        <v>1680</v>
      </c>
      <c r="E662" s="9" t="s">
        <v>126</v>
      </c>
      <c r="F662" s="9">
        <v>998223499</v>
      </c>
      <c r="G662" s="12">
        <v>45271647</v>
      </c>
      <c r="H662" s="9" t="s">
        <v>1723</v>
      </c>
      <c r="I662" t="str">
        <f t="shared" si="10"/>
        <v>('MENDOZA VELASQUEZ MARICRUZ','LOS ARENALES, PSJ SANTA ANGELA - CRUZ BLANCA','CHINCHA ALTA','ZONA: CRUZ BLANCA VIRGEN CARMEN','998223499','45271647','Todos'),</v>
      </c>
    </row>
    <row r="663" spans="1:9">
      <c r="A663" s="2">
        <v>449</v>
      </c>
      <c r="B663" s="9" t="s">
        <v>1301</v>
      </c>
      <c r="C663" s="9" t="s">
        <v>1302</v>
      </c>
      <c r="D663" s="9" t="s">
        <v>1682</v>
      </c>
      <c r="E663" s="9" t="s">
        <v>846</v>
      </c>
      <c r="F663" s="9">
        <v>923818108</v>
      </c>
      <c r="G663" s="12">
        <v>45456776</v>
      </c>
      <c r="H663" s="9" t="s">
        <v>1723</v>
      </c>
      <c r="I663" t="str">
        <f t="shared" si="10"/>
        <v>('ÑAHUIS QUISPE NORY YESENIA','AA. HH. BEATA MELCHORITA NRO. I -15 - PUEBLO NUEVO','PUEBLO NUEVO','ZONA: PUEBLO - SALVADOR','923818108','45456776','Todos'),</v>
      </c>
    </row>
    <row r="664" spans="1:9">
      <c r="A664" s="2">
        <v>450</v>
      </c>
      <c r="B664" s="9" t="s">
        <v>192</v>
      </c>
      <c r="C664" s="9" t="s">
        <v>193</v>
      </c>
      <c r="D664" s="9" t="s">
        <v>1679</v>
      </c>
      <c r="E664" s="9" t="s">
        <v>22</v>
      </c>
      <c r="F664" s="9">
        <v>955974625</v>
      </c>
      <c r="G664" s="12">
        <v>45470570</v>
      </c>
      <c r="H664" s="9" t="s">
        <v>1723</v>
      </c>
      <c r="I664" t="str">
        <f t="shared" si="10"/>
        <v>('CHACALIAZA ATUNCAR HEBER TOMAS','CL SAN VICENTE FERRER NRO. LOTE 01 PSJ. 8 C.P. SAN PEDRO DE PILPA - SUNAMPE','SUNAMPE','ZONA: SUNAMPE – SAN PILPA','955974625','45470570','Todos'),</v>
      </c>
    </row>
    <row r="665" spans="1:9">
      <c r="A665" s="2">
        <v>452</v>
      </c>
      <c r="B665" s="9" t="s">
        <v>1297</v>
      </c>
      <c r="C665" s="9" t="s">
        <v>1298</v>
      </c>
      <c r="D665" s="9" t="s">
        <v>1682</v>
      </c>
      <c r="E665" s="9" t="s">
        <v>846</v>
      </c>
      <c r="F665" s="9">
        <v>968927286</v>
      </c>
      <c r="G665" s="12">
        <v>45494884</v>
      </c>
      <c r="H665" s="9" t="s">
        <v>1723</v>
      </c>
      <c r="I665" t="str">
        <f t="shared" si="10"/>
        <v>('TITI FLORES MARIA LUISA','URB. LEON DE VIVERO NRO. 14-11 - PUEBLO NUEVO','PUEBLO NUEVO','ZONA: PUEBLO - SALVADOR','968927286','45494884','Todos'),</v>
      </c>
    </row>
    <row r="666" spans="1:9">
      <c r="A666" s="2">
        <v>453</v>
      </c>
      <c r="B666" s="9" t="s">
        <v>1491</v>
      </c>
      <c r="C666" s="9" t="s">
        <v>1492</v>
      </c>
      <c r="D666" s="9" t="s">
        <v>1680</v>
      </c>
      <c r="E666" s="9" t="s">
        <v>99</v>
      </c>
      <c r="F666" s="9" t="s">
        <v>1493</v>
      </c>
      <c r="G666" s="12">
        <v>45506015</v>
      </c>
      <c r="H666" s="9" t="s">
        <v>1723</v>
      </c>
      <c r="I666" t="str">
        <f t="shared" si="10"/>
        <v>('MARIANO JANAMPA QUISPE','CC.PP NUEVO CONDORILLO - SAN VALENTIN Nro. I-11','CHINCHA ALTA','ZONA: CRUZ BLANCA CAMPO','915 975 003','45506015','Todos'),</v>
      </c>
    </row>
    <row r="667" spans="1:9">
      <c r="A667" s="2">
        <v>456</v>
      </c>
      <c r="B667" s="9" t="s">
        <v>1562</v>
      </c>
      <c r="C667" s="9" t="s">
        <v>1563</v>
      </c>
      <c r="D667" s="9" t="s">
        <v>1682</v>
      </c>
      <c r="E667" s="9" t="s">
        <v>846</v>
      </c>
      <c r="F667" s="9">
        <v>904961235</v>
      </c>
      <c r="G667" s="12">
        <v>45625887</v>
      </c>
      <c r="H667" s="9" t="s">
        <v>1723</v>
      </c>
      <c r="I667" t="str">
        <f t="shared" si="10"/>
        <v>('KARINA CECILIA MARTINEZ PACHAS','MZNA H Nro. Puerta 11 AA.HH. El Salvador PUEBLO NUEVO','PUEBLO NUEVO','ZONA: PUEBLO - SALVADOR','904961235','45625887','Todos'),</v>
      </c>
    </row>
    <row r="668" spans="1:9">
      <c r="A668" s="2">
        <v>465</v>
      </c>
      <c r="B668" s="9" t="s">
        <v>521</v>
      </c>
      <c r="C668" s="9" t="s">
        <v>522</v>
      </c>
      <c r="D668" s="9" t="s">
        <v>1681</v>
      </c>
      <c r="E668" s="9" t="s">
        <v>317</v>
      </c>
      <c r="F668" s="9">
        <v>933844772</v>
      </c>
      <c r="G668" s="12">
        <v>45783027</v>
      </c>
      <c r="H668" s="9" t="s">
        <v>1723</v>
      </c>
      <c r="I668" t="str">
        <f t="shared" si="10"/>
        <v>('KATHERINE GIOVANNA PACHAS BARRIOS (WALTER FELIX)','BARRIO PORVENIR 485 - GROCIO PRADO','GROCIO PRADO','ZONA: GROCIO - EL PORVENIR','933844772','45783027','Todos'),</v>
      </c>
    </row>
    <row r="669" spans="1:9">
      <c r="A669" s="2">
        <v>467</v>
      </c>
      <c r="B669" s="9" t="s">
        <v>1452</v>
      </c>
      <c r="C669" s="9" t="s">
        <v>1453</v>
      </c>
      <c r="D669" s="9" t="s">
        <v>1679</v>
      </c>
      <c r="E669" s="9" t="s">
        <v>5</v>
      </c>
      <c r="F669" s="9">
        <v>997087497</v>
      </c>
      <c r="G669" s="12">
        <v>45837876</v>
      </c>
      <c r="H669" s="9" t="s">
        <v>1723</v>
      </c>
      <c r="I669" t="str">
        <f t="shared" si="10"/>
        <v>('JOSE JOEL TORRES DE LA CRUZ','AVDA. EL PORVENIR NRO. 156 - PASO DE GOMEZ - SUNAMPE','SUNAMPE','ZONA: SUNAMPE – SANTA ROSA','997087497','45837876','Todos'),</v>
      </c>
    </row>
    <row r="670" spans="1:9">
      <c r="A670" s="2">
        <v>473</v>
      </c>
      <c r="B670" s="9" t="s">
        <v>1399</v>
      </c>
      <c r="C670" s="9" t="s">
        <v>1400</v>
      </c>
      <c r="D670" s="9" t="s">
        <v>1679</v>
      </c>
      <c r="E670" s="9" t="s">
        <v>2</v>
      </c>
      <c r="F670" s="9">
        <v>938774666</v>
      </c>
      <c r="G670" s="12">
        <v>45944393</v>
      </c>
      <c r="H670" s="9" t="s">
        <v>1723</v>
      </c>
      <c r="I670" t="str">
        <f t="shared" si="10"/>
        <v>('SUSANA CYNTHIA PACHAS ALMEYDA','AV. HUASCAR LT. 01 - C.P. SAN ANTONIO - SUNAMPE','SUNAMPE','ZONA: SUNAMPE – SAN IGNACIO','938774666','45944393','Todos'),</v>
      </c>
    </row>
    <row r="671" spans="1:9">
      <c r="A671" s="2">
        <v>474</v>
      </c>
      <c r="B671" s="9" t="s">
        <v>1552</v>
      </c>
      <c r="C671" s="9" t="s">
        <v>1553</v>
      </c>
      <c r="D671" s="9" t="s">
        <v>1681</v>
      </c>
      <c r="E671" s="9" t="s">
        <v>317</v>
      </c>
      <c r="F671" s="9">
        <v>987388464</v>
      </c>
      <c r="G671" s="12">
        <v>46026160</v>
      </c>
      <c r="H671" s="9" t="s">
        <v>1723</v>
      </c>
      <c r="I671" t="str">
        <f t="shared" si="10"/>
        <v>('RICARDO SALVADOR ZAMORA SARAVIA','HU. CA. ALFONSO UGARTE Nro. MZ X LT 05 GROCIO PRADOCHINCHA','GROCIO PRADO','ZONA: GROCIO - EL PORVENIR','987388464','46026160','Todos'),</v>
      </c>
    </row>
    <row r="672" spans="1:9">
      <c r="A672" s="2">
        <v>478</v>
      </c>
      <c r="B672" s="9" t="s">
        <v>1420</v>
      </c>
      <c r="C672" s="9" t="s">
        <v>1421</v>
      </c>
      <c r="D672" s="9" t="s">
        <v>1679</v>
      </c>
      <c r="E672" s="9" t="s">
        <v>22</v>
      </c>
      <c r="F672" s="9">
        <v>987647160</v>
      </c>
      <c r="G672" s="12">
        <v>46147464</v>
      </c>
      <c r="H672" s="9" t="s">
        <v>1723</v>
      </c>
      <c r="I672" t="str">
        <f t="shared" si="10"/>
        <v>('MARIA DEL ROSARIO TASAYCO YATACO','AV. PRINCIPAL NRO. 66 SIN BARRIO - C.P. HUACA GRANDE - SUNAMPE','SUNAMPE','ZONA: SUNAMPE – SAN PILPA','987647160','46147464','Todos'),</v>
      </c>
    </row>
    <row r="673" spans="1:9">
      <c r="A673" s="2">
        <v>480</v>
      </c>
      <c r="B673" s="9" t="s">
        <v>1529</v>
      </c>
      <c r="C673" s="9" t="s">
        <v>1530</v>
      </c>
      <c r="D673" s="9" t="s">
        <v>1680</v>
      </c>
      <c r="E673" s="9" t="s">
        <v>19</v>
      </c>
      <c r="F673" s="9">
        <v>922868688</v>
      </c>
      <c r="G673" s="12">
        <v>46230717</v>
      </c>
      <c r="H673" s="9" t="s">
        <v>1723</v>
      </c>
      <c r="I673" t="str">
        <f t="shared" si="10"/>
        <v>('MIGUEL ANGEL TASAYCO ROJAS','JRN 2 DE MAYO Nro. Casa 299 03 Sin Barrio Cercado Chincha Alta, CHINCHA ALTA','CHINCHA ALTA','ZONA: CRUZ BLANCA PARTE ALTA oruro','922868688','46230717','Todos'),</v>
      </c>
    </row>
    <row r="674" spans="1:9">
      <c r="A674" s="2">
        <v>485</v>
      </c>
      <c r="B674" s="9" t="s">
        <v>1387</v>
      </c>
      <c r="C674" s="9" t="s">
        <v>1388</v>
      </c>
      <c r="D674" s="9" t="s">
        <v>1680</v>
      </c>
      <c r="E674" s="9" t="s">
        <v>126</v>
      </c>
      <c r="F674" s="9">
        <v>919585896</v>
      </c>
      <c r="G674" s="12">
        <v>46402866</v>
      </c>
      <c r="H674" s="9" t="s">
        <v>1723</v>
      </c>
      <c r="I674" t="str">
        <f t="shared" si="10"/>
        <v>('EDITH CAROLINA DE LA CRUZ SOTELO','ASOC. NUEVA GENERACION SIGLO XXI MZ. O - LT. 15 - CHINCHA ALTA','CHINCHA ALTA','ZONA: CRUZ BLANCA VIRGEN CARMEN','919585896','46402866','Todos'),</v>
      </c>
    </row>
    <row r="675" spans="1:9">
      <c r="A675" s="2">
        <v>499</v>
      </c>
      <c r="B675" s="9" t="s">
        <v>1558</v>
      </c>
      <c r="C675" s="9" t="s">
        <v>1559</v>
      </c>
      <c r="D675" s="9" t="s">
        <v>1682</v>
      </c>
      <c r="E675" s="9" t="s">
        <v>1106</v>
      </c>
      <c r="F675" s="9">
        <v>920363453</v>
      </c>
      <c r="G675" s="12">
        <v>46944616</v>
      </c>
      <c r="H675" s="9" t="s">
        <v>1723</v>
      </c>
      <c r="I675" t="str">
        <f t="shared" si="10"/>
        <v>('KIARA MELIZA FELIPA YATACO','ALFONSO UGARTE - UPIS SAN ANDRES, PASANDO PLAZA DE ARMAS DE SAN ISIDRO','PUEBLO NUEVO','ZONA: PUEBLO - TECHO PROPIO','920363453','46944616','Todos'),</v>
      </c>
    </row>
    <row r="676" spans="1:9">
      <c r="A676" s="2">
        <v>511</v>
      </c>
      <c r="B676" s="9" t="s">
        <v>1334</v>
      </c>
      <c r="C676" s="9" t="s">
        <v>1335</v>
      </c>
      <c r="D676" s="9" t="s">
        <v>1681</v>
      </c>
      <c r="E676" s="9" t="s">
        <v>11</v>
      </c>
      <c r="F676" s="9" t="s">
        <v>1725</v>
      </c>
      <c r="G676" s="12">
        <v>47328216</v>
      </c>
      <c r="H676" s="9" t="s">
        <v>1723</v>
      </c>
      <c r="I676" t="str">
        <f t="shared" si="10"/>
        <v>('NAPA SARAVIA CARLOS ALBERTO','AVDA PANAMERICANA SUR NRO. PUERTA 1629','GROCIO PRADO','ZONA: GROCIO - MEJILLONEROS','No especificado','47328216','Todos'),</v>
      </c>
    </row>
    <row r="677" spans="1:9">
      <c r="A677" s="2">
        <v>513</v>
      </c>
      <c r="B677" s="9" t="s">
        <v>1280</v>
      </c>
      <c r="C677" s="9" t="s">
        <v>1281</v>
      </c>
      <c r="D677" s="9" t="s">
        <v>1679</v>
      </c>
      <c r="E677" s="9" t="s">
        <v>71</v>
      </c>
      <c r="F677" s="9">
        <v>997600039</v>
      </c>
      <c r="G677" s="12">
        <v>47385982</v>
      </c>
      <c r="H677" s="9" t="s">
        <v>1723</v>
      </c>
      <c r="I677" t="str">
        <f t="shared" si="10"/>
        <v>('ALMEYDA MENDOZA JOSSELIN JANETH','AV. PARAISO N° 106 - C.P. LOMO LARGO - SUNAMPE','SUNAMPE','ZONA: SUNAMPE – SANTA FE','997600039','47385982','Todos'),</v>
      </c>
    </row>
    <row r="678" spans="1:9">
      <c r="A678" s="2">
        <v>517</v>
      </c>
      <c r="B678" s="9" t="s">
        <v>1456</v>
      </c>
      <c r="C678" s="9" t="s">
        <v>1457</v>
      </c>
      <c r="D678" s="9" t="s">
        <v>1680</v>
      </c>
      <c r="E678" s="9" t="s">
        <v>90</v>
      </c>
      <c r="F678" s="9">
        <v>913448313</v>
      </c>
      <c r="G678" s="12">
        <v>47561973</v>
      </c>
      <c r="H678" s="9" t="s">
        <v>1723</v>
      </c>
      <c r="I678" t="str">
        <f t="shared" si="10"/>
        <v>('MELCHORITA VILLANUEVA GUERRA','" MZNA Z Nro. Puerta 26 C.P. Condorillo Alto CHINCHA ALTA "','CHINCHA ALTA','ZONA: CONDORILLO PARTE ALTA','913448313','47561973','Todos'),</v>
      </c>
    </row>
    <row r="679" spans="1:9">
      <c r="A679" s="2">
        <v>518</v>
      </c>
      <c r="B679" s="9" t="s">
        <v>1520</v>
      </c>
      <c r="C679" s="9" t="s">
        <v>1521</v>
      </c>
      <c r="D679" s="9" t="s">
        <v>1680</v>
      </c>
      <c r="E679" s="9" t="s">
        <v>765</v>
      </c>
      <c r="F679" s="9">
        <v>900268302</v>
      </c>
      <c r="G679" s="12">
        <v>47595296</v>
      </c>
      <c r="H679" s="9" t="s">
        <v>1723</v>
      </c>
      <c r="I679" t="str">
        <f t="shared" si="10"/>
        <v>('LUIS JHONNY MATIAS ANTON','PSJE JABONCILLO S/N - CHINCHA ALTA','CHINCHA ALTA','ZONA: CHINCHA - PROGRESO','900268302','47595296','Todos'),</v>
      </c>
    </row>
    <row r="680" spans="1:9">
      <c r="A680" s="2">
        <v>526</v>
      </c>
      <c r="B680" s="9" t="s">
        <v>434</v>
      </c>
      <c r="C680" s="9" t="s">
        <v>435</v>
      </c>
      <c r="D680" s="9" t="s">
        <v>1680</v>
      </c>
      <c r="E680" s="9" t="s">
        <v>99</v>
      </c>
      <c r="F680" s="9">
        <v>971344982</v>
      </c>
      <c r="G680" s="12">
        <v>48224177</v>
      </c>
      <c r="H680" s="9" t="s">
        <v>1723</v>
      </c>
      <c r="I680" t="str">
        <f t="shared" si="10"/>
        <v>('TELLO ARMAS JULIAN','Invasion de condorillo','CHINCHA ALTA','ZONA: CRUZ BLANCA CAMPO','971344982','48224177','Todos'),</v>
      </c>
    </row>
    <row r="681" spans="1:9">
      <c r="A681" s="2">
        <v>527</v>
      </c>
      <c r="B681" s="9" t="s">
        <v>1273</v>
      </c>
      <c r="C681" s="9" t="s">
        <v>1274</v>
      </c>
      <c r="D681" s="9" t="s">
        <v>1679</v>
      </c>
      <c r="E681" s="9" t="s">
        <v>36</v>
      </c>
      <c r="F681" s="9" t="s">
        <v>1275</v>
      </c>
      <c r="G681" s="12">
        <v>48441618</v>
      </c>
      <c r="H681" s="9" t="s">
        <v>1723</v>
      </c>
      <c r="I681" t="str">
        <f t="shared" si="10"/>
        <v>('GENTILLE GUTARRA DOMINGO','AV. PARAISO N° 201 LOMO LARGO - SUNAMPE','SUNAMPE','ZONA: SUNAMPE – PARAISO','966 187 404','48441618','Todos'),</v>
      </c>
    </row>
    <row r="682" spans="1:9">
      <c r="A682" s="2">
        <v>539</v>
      </c>
      <c r="B682" s="9" t="s">
        <v>965</v>
      </c>
      <c r="C682" s="9" t="s">
        <v>966</v>
      </c>
      <c r="D682" s="9" t="s">
        <v>1681</v>
      </c>
      <c r="E682" s="9" t="s">
        <v>11</v>
      </c>
      <c r="F682" s="9">
        <v>942625411</v>
      </c>
      <c r="G682" s="12">
        <v>61659340</v>
      </c>
      <c r="H682" s="9" t="s">
        <v>1723</v>
      </c>
      <c r="I682" t="str">
        <f t="shared" si="10"/>
        <v>('SAYRITUPAC DIAZ MELUSCA','CL. BENAVIDES N° 340, EL PORVENIR - GROCIO PRADO','GROCIO PRADO','ZONA: GROCIO - MEJILLONEROS','942625411','61659340','Todos'),</v>
      </c>
    </row>
    <row r="683" spans="1:9">
      <c r="A683" s="2">
        <v>540</v>
      </c>
      <c r="B683" s="9" t="s">
        <v>997</v>
      </c>
      <c r="C683" s="9" t="s">
        <v>998</v>
      </c>
      <c r="D683" s="9" t="s">
        <v>1679</v>
      </c>
      <c r="E683" s="9" t="s">
        <v>8</v>
      </c>
      <c r="F683" s="9">
        <v>933641287</v>
      </c>
      <c r="G683" s="12">
        <v>62721790</v>
      </c>
      <c r="H683" s="9" t="s">
        <v>1723</v>
      </c>
      <c r="I683" t="str">
        <f t="shared" si="10"/>
        <v>('SARAVIA ATUNCAR ANGELO ALEXANDER','AV. LAS VIÑAS 500-12 - SUNAMPE','SUNAMPE','ZONA: SUNAMPE – COLEGIO','933641287','62721790','Todos'),</v>
      </c>
    </row>
    <row r="684" spans="1:9">
      <c r="A684" s="2">
        <v>547</v>
      </c>
      <c r="B684" s="9" t="s">
        <v>1312</v>
      </c>
      <c r="C684" s="9" t="s">
        <v>1313</v>
      </c>
      <c r="D684" s="9" t="s">
        <v>1681</v>
      </c>
      <c r="E684" s="9" t="s">
        <v>317</v>
      </c>
      <c r="F684" s="9">
        <v>954979068</v>
      </c>
      <c r="G684" s="12">
        <v>70170364</v>
      </c>
      <c r="H684" s="9" t="s">
        <v>1723</v>
      </c>
      <c r="I684" t="str">
        <f t="shared" si="10"/>
        <v>('SARAVIA DE LA CRUZ GIOVANA FIORELLA','CL. 09 DE OCTUBRE N° 211 - CERCADO GROCIO PRADO','GROCIO PRADO','ZONA: GROCIO - EL PORVENIR','954979068','70170364','Todos'),</v>
      </c>
    </row>
    <row r="685" spans="1:9">
      <c r="A685" s="2">
        <v>548</v>
      </c>
      <c r="B685" s="9" t="s">
        <v>1506</v>
      </c>
      <c r="C685" s="9" t="s">
        <v>1507</v>
      </c>
      <c r="D685" s="9" t="s">
        <v>1679</v>
      </c>
      <c r="E685" s="9" t="s">
        <v>106</v>
      </c>
      <c r="F685" s="9">
        <v>901562811</v>
      </c>
      <c r="G685" s="12">
        <v>70249185</v>
      </c>
      <c r="H685" s="9" t="s">
        <v>1723</v>
      </c>
      <c r="I685" t="str">
        <f t="shared" si="10"/>
        <v>('NICOL STEFANNY PACHAS YATACO','AVDA MINA DE ORO NRO. PUERTA 870 C.P. MINA DE ORO - SUNAMPE','SUNAMPE','ZONA: SUNAMPE - MINA DE ORO','901562811','70249185','Todos'),</v>
      </c>
    </row>
    <row r="686" spans="1:9">
      <c r="A686" s="2">
        <v>551</v>
      </c>
      <c r="B686" s="9" t="s">
        <v>1267</v>
      </c>
      <c r="C686" s="9" t="s">
        <v>1268</v>
      </c>
      <c r="D686" s="9" t="s">
        <v>1681</v>
      </c>
      <c r="E686" s="9" t="s">
        <v>11</v>
      </c>
      <c r="F686" s="9">
        <v>937683979</v>
      </c>
      <c r="G686" s="12">
        <v>70260176</v>
      </c>
      <c r="H686" s="9" t="s">
        <v>1723</v>
      </c>
      <c r="I686" t="str">
        <f t="shared" si="10"/>
        <v>('MADRID CANDIOTE JINA EMILY','PSJE. FELIX NRO. 299-14 - BARRIO MELCHORITA II - GROCIO PRADO','GROCIO PRADO','ZONA: GROCIO - MEJILLONEROS','937683979','70260176','Todos'),</v>
      </c>
    </row>
    <row r="687" spans="1:9">
      <c r="A687" s="2">
        <v>555</v>
      </c>
      <c r="B687" s="9" t="s">
        <v>1431</v>
      </c>
      <c r="C687" s="9" t="s">
        <v>1432</v>
      </c>
      <c r="D687" s="9" t="s">
        <v>1682</v>
      </c>
      <c r="E687" s="9" t="s">
        <v>846</v>
      </c>
      <c r="F687" s="9">
        <v>925258512</v>
      </c>
      <c r="G687" s="12">
        <v>70352237</v>
      </c>
      <c r="H687" s="9" t="s">
        <v>1723</v>
      </c>
      <c r="I687" t="str">
        <f t="shared" si="10"/>
        <v>('EVELIN MYLUSCA JUAREZ MUCHAYPIÑA','URB. LEON DE VIVERO MZ. 04 LT. 5 - PUEBLO NUEVO','PUEBLO NUEVO','ZONA: PUEBLO - SALVADOR','925258512','70352237','Todos'),</v>
      </c>
    </row>
    <row r="688" spans="1:9">
      <c r="A688" s="2">
        <v>556</v>
      </c>
      <c r="B688" s="9" t="s">
        <v>553</v>
      </c>
      <c r="C688" s="9" t="s">
        <v>554</v>
      </c>
      <c r="D688" s="9" t="s">
        <v>1681</v>
      </c>
      <c r="E688" s="9" t="s">
        <v>11</v>
      </c>
      <c r="F688" s="9">
        <v>945999308</v>
      </c>
      <c r="G688" s="12">
        <v>70362597</v>
      </c>
      <c r="H688" s="9" t="s">
        <v>1723</v>
      </c>
      <c r="I688" t="str">
        <f t="shared" si="10"/>
        <v>('MELANY PAOLA TORRES LEVANO','AV. MELCHORITA N° 1216 - GROCIO PRADO','GROCIO PRADO','ZONA: GROCIO - MEJILLONEROS','945999308','70362597','Todos'),</v>
      </c>
    </row>
    <row r="689" spans="1:9">
      <c r="A689" s="2">
        <v>576</v>
      </c>
      <c r="B689" s="9" t="s">
        <v>1290</v>
      </c>
      <c r="C689" s="9" t="s">
        <v>1291</v>
      </c>
      <c r="D689" s="9" t="s">
        <v>1682</v>
      </c>
      <c r="E689" s="9" t="s">
        <v>846</v>
      </c>
      <c r="F689" s="9" t="s">
        <v>1292</v>
      </c>
      <c r="G689" s="12">
        <v>71479657</v>
      </c>
      <c r="H689" s="9" t="s">
        <v>1723</v>
      </c>
      <c r="I689" t="str">
        <f t="shared" si="10"/>
        <v>('ALVAREZ HERNANDEZ ANA LUCERO','AV. ALFONSO UGARTE S/N - PUEBLO NUEVO','PUEBLO NUEVO','ZONA: PUEBLO - SALVADOR','984 307 747','71479657','Todos'),</v>
      </c>
    </row>
    <row r="690" spans="1:9">
      <c r="A690" s="2">
        <v>577</v>
      </c>
      <c r="B690" s="9" t="s">
        <v>1246</v>
      </c>
      <c r="C690" s="9" t="s">
        <v>1247</v>
      </c>
      <c r="D690" s="9" t="s">
        <v>1681</v>
      </c>
      <c r="E690" s="9" t="s">
        <v>11</v>
      </c>
      <c r="F690" s="9">
        <v>962902103</v>
      </c>
      <c r="G690" s="12">
        <v>71479672</v>
      </c>
      <c r="H690" s="9" t="s">
        <v>1723</v>
      </c>
      <c r="I690" t="str">
        <f t="shared" si="10"/>
        <v>('APOLAYA VALDEZ FRESIA FIORELLA','PSJ. FELIX NRO. 299-15 - BARRIO MELCHORITA II - GROCIO PRADO','GROCIO PRADO','ZONA: GROCIO - MEJILLONEROS','962902103','71479672','Todos'),</v>
      </c>
    </row>
    <row r="691" spans="1:9">
      <c r="A691" s="2">
        <v>591</v>
      </c>
      <c r="B691" s="9" t="s">
        <v>1118</v>
      </c>
      <c r="C691" s="9" t="s">
        <v>1119</v>
      </c>
      <c r="D691" s="9" t="s">
        <v>1679</v>
      </c>
      <c r="E691" s="9" t="s">
        <v>106</v>
      </c>
      <c r="F691" s="9" t="s">
        <v>1120</v>
      </c>
      <c r="G691" s="12">
        <v>71835943</v>
      </c>
      <c r="H691" s="9" t="s">
        <v>1723</v>
      </c>
      <c r="I691" t="str">
        <f t="shared" si="10"/>
        <v>('QUISPE SOTELO LAURO FIDEL','PSJE SUCRE Nro. Puerta 467 Sin Barrio C.P. Mina de Oro , SUNAMPE','SUNAMPE','ZONA: SUNAMPE - MINA DE ORO','923 349 317','71835943','Todos'),</v>
      </c>
    </row>
    <row r="692" spans="1:9">
      <c r="A692" s="2">
        <v>593</v>
      </c>
      <c r="B692" s="9" t="s">
        <v>1368</v>
      </c>
      <c r="C692" s="9" t="s">
        <v>1369</v>
      </c>
      <c r="D692" s="9" t="s">
        <v>1679</v>
      </c>
      <c r="E692" s="9" t="s">
        <v>230</v>
      </c>
      <c r="F692" s="9">
        <v>902338830</v>
      </c>
      <c r="G692" s="12">
        <v>71908868</v>
      </c>
      <c r="H692" s="9" t="s">
        <v>1723</v>
      </c>
      <c r="I692" t="str">
        <f t="shared" si="10"/>
        <v>('JUAN JESUS GUTIERREZ ALMEYDA','PSJE 22 DE DICIEMBRE NRO. 406 A - C.P. MONTERRICO - SUNAMPE','SUNAMPE','ZONA: SUNAMPE – SIMON','902338830','71908868','Todos'),</v>
      </c>
    </row>
    <row r="693" spans="1:9">
      <c r="A693" s="2">
        <v>594</v>
      </c>
      <c r="B693" s="9" t="s">
        <v>1004</v>
      </c>
      <c r="C693" s="9" t="s">
        <v>1005</v>
      </c>
      <c r="D693" s="9" t="s">
        <v>1679</v>
      </c>
      <c r="E693" s="9" t="s">
        <v>8</v>
      </c>
      <c r="F693" s="9" t="s">
        <v>1006</v>
      </c>
      <c r="G693" s="12">
        <v>71928024</v>
      </c>
      <c r="H693" s="9" t="s">
        <v>1723</v>
      </c>
      <c r="I693" t="str">
        <f t="shared" si="10"/>
        <v>('DIAZ QUISPE KAROLAY MIRELLA','CALLE LAS VIÑAS S/N - SUNAMPE','SUNAMPE','ZONA: SUNAMPE – COLEGIO','904 277 253','71928024','Todos'),</v>
      </c>
    </row>
    <row r="694" spans="1:9">
      <c r="A694" s="2">
        <v>597</v>
      </c>
      <c r="B694" s="9" t="s">
        <v>735</v>
      </c>
      <c r="C694" s="9" t="s">
        <v>736</v>
      </c>
      <c r="D694" s="9" t="s">
        <v>1679</v>
      </c>
      <c r="E694" s="9" t="s">
        <v>22</v>
      </c>
      <c r="F694" s="9" t="s">
        <v>737</v>
      </c>
      <c r="G694" s="12">
        <v>72382087</v>
      </c>
      <c r="H694" s="9" t="s">
        <v>1723</v>
      </c>
      <c r="I694" t="str">
        <f t="shared" si="10"/>
        <v>('MUÑOZ ATUNCAR RUBEN CARLOS','CALLE SAN PEDRO DE PILPA N° 156-02 - SUNAMPE','SUNAMPE','ZONA: SUNAMPE – SAN PILPA','923 455 593','72382087','Todos'),</v>
      </c>
    </row>
    <row r="695" spans="1:9">
      <c r="A695" s="2">
        <v>598</v>
      </c>
      <c r="B695" s="9" t="s">
        <v>1538</v>
      </c>
      <c r="C695" s="9" t="s">
        <v>1539</v>
      </c>
      <c r="D695" s="9" t="s">
        <v>1679</v>
      </c>
      <c r="E695" s="9" t="s">
        <v>718</v>
      </c>
      <c r="F695" s="9">
        <v>979770491</v>
      </c>
      <c r="G695" s="12">
        <v>72391087</v>
      </c>
      <c r="H695" s="9" t="s">
        <v>1723</v>
      </c>
      <c r="I695" t="str">
        <f t="shared" si="10"/>
        <v>('KERLY ESTEFANY MESIAS MONROY','AVDA SAN MARTIN Nro. Puerta 446 Sin Barrio Sunampe Antiguo, SUNAMPE','SUNAMPE','ZONA: SUNAMPE – CHACARITA','979770491','72391087','Todos'),</v>
      </c>
    </row>
    <row r="696" spans="1:9">
      <c r="A696" s="2">
        <v>601</v>
      </c>
      <c r="B696" s="9" t="s">
        <v>1336</v>
      </c>
      <c r="C696" s="9" t="s">
        <v>1337</v>
      </c>
      <c r="D696" s="9" t="s">
        <v>1682</v>
      </c>
      <c r="E696" s="9" t="s">
        <v>846</v>
      </c>
      <c r="F696" s="9">
        <v>962662710</v>
      </c>
      <c r="G696" s="12">
        <v>72517105</v>
      </c>
      <c r="H696" s="9" t="s">
        <v>1723</v>
      </c>
      <c r="I696" t="str">
        <f t="shared" si="10"/>
        <v>('FRANCIA FUENTES JOEL ALEXANDER','URB. LEON DE VIVERO MZ. I1 - LT. 04 - PUEBLO NUEVO','PUEBLO NUEVO','ZONA: PUEBLO - SALVADOR','962662710','72517105','Todos'),</v>
      </c>
    </row>
    <row r="697" spans="1:9">
      <c r="A697" s="2">
        <v>603</v>
      </c>
      <c r="B697" s="9" t="s">
        <v>1351</v>
      </c>
      <c r="C697" s="9" t="s">
        <v>1352</v>
      </c>
      <c r="D697" s="9" t="s">
        <v>1679</v>
      </c>
      <c r="E697" s="9" t="s">
        <v>106</v>
      </c>
      <c r="F697" s="9">
        <v>947368143</v>
      </c>
      <c r="G697" s="12">
        <v>72691623</v>
      </c>
      <c r="H697" s="9" t="s">
        <v>1723</v>
      </c>
      <c r="I697" t="str">
        <f t="shared" si="10"/>
        <v>('MAYRA LIZETT LEVANO DIAZ','PSJE LAS VEGAS MZ.B - LOTE 13 - C.P. MINA DE ORO - SUNAMPE','SUNAMPE','ZONA: SUNAMPE - MINA DE ORO','947368143','72691623','Todos'),</v>
      </c>
    </row>
    <row r="698" spans="1:9">
      <c r="A698" s="2">
        <v>604</v>
      </c>
      <c r="B698" s="9" t="s">
        <v>1481</v>
      </c>
      <c r="C698" s="9" t="s">
        <v>1482</v>
      </c>
      <c r="D698" s="9" t="s">
        <v>1679</v>
      </c>
      <c r="E698" s="9" t="s">
        <v>8</v>
      </c>
      <c r="F698" s="9">
        <v>938654341</v>
      </c>
      <c r="G698" s="12">
        <v>72692981</v>
      </c>
      <c r="H698" s="9" t="s">
        <v>1723</v>
      </c>
      <c r="I698" t="str">
        <f t="shared" si="10"/>
        <v>('ANA LUCIA ROJAS TORRES','PSJE ROJAS SN - CALLE CAMANÁ','SUNAMPE','ZONA: SUNAMPE – COLEGIO','938654341','72692981','Todos'),</v>
      </c>
    </row>
    <row r="699" spans="1:9">
      <c r="A699" s="2">
        <v>617</v>
      </c>
      <c r="B699" s="9" t="s">
        <v>1314</v>
      </c>
      <c r="C699" s="9" t="s">
        <v>1315</v>
      </c>
      <c r="D699" s="9" t="s">
        <v>1679</v>
      </c>
      <c r="E699" s="9" t="s">
        <v>36</v>
      </c>
      <c r="F699" s="9">
        <v>912095908</v>
      </c>
      <c r="G699" s="12">
        <v>73175109</v>
      </c>
      <c r="H699" s="9" t="s">
        <v>1723</v>
      </c>
      <c r="I699" t="str">
        <f t="shared" si="10"/>
        <v>('MATIAS ROMERO BLANCA ROSA','PARAISO S/N - C.P. LOMO LARGO - SUNAMPE - CHINCHA','SUNAMPE','ZONA: SUNAMPE – PARAISO','912095908','73175109','Todos'),</v>
      </c>
    </row>
    <row r="700" spans="1:9">
      <c r="A700" s="2">
        <v>619</v>
      </c>
      <c r="B700" s="9" t="s">
        <v>1479</v>
      </c>
      <c r="C700" s="9" t="s">
        <v>1480</v>
      </c>
      <c r="D700" s="9" t="s">
        <v>1679</v>
      </c>
      <c r="E700" s="9" t="s">
        <v>5</v>
      </c>
      <c r="F700" s="9">
        <v>971123157</v>
      </c>
      <c r="G700" s="12">
        <v>73198106</v>
      </c>
      <c r="H700" s="9" t="s">
        <v>1723</v>
      </c>
      <c r="I700" t="str">
        <f t="shared" si="10"/>
        <v>('PIERINA BRILLIT ESTEBAN CABRERA','PSJE PASO DE GOMEZ NRO. PUERTA 105 C.P. HUACA GRANDE - SUNAMPE','SUNAMPE','ZONA: SUNAMPE – SANTA ROSA','971123157','73198106','Todos'),</v>
      </c>
    </row>
    <row r="701" spans="1:9">
      <c r="A701" s="2">
        <v>624</v>
      </c>
      <c r="B701" s="9" t="s">
        <v>564</v>
      </c>
      <c r="C701" s="9" t="s">
        <v>565</v>
      </c>
      <c r="D701" s="9" t="s">
        <v>1679</v>
      </c>
      <c r="E701" s="9" t="s">
        <v>135</v>
      </c>
      <c r="F701" s="9">
        <v>968825713</v>
      </c>
      <c r="G701" s="12">
        <v>73338526</v>
      </c>
      <c r="H701" s="9" t="s">
        <v>1723</v>
      </c>
      <c r="I701" t="str">
        <f t="shared" si="10"/>
        <v>('CASTAÑEDA MATIAS ROGGER MARTIN','Av. las nazarenas huaca grande  - Sunampe mz. a lt. 22','SUNAMPE','ZONA: SUNAMPE – HUACA GRANDE','968825713','73338526','Todos'),</v>
      </c>
    </row>
    <row r="702" spans="1:9">
      <c r="A702" s="2">
        <v>634</v>
      </c>
      <c r="B702" s="9" t="s">
        <v>1057</v>
      </c>
      <c r="C702" s="9" t="s">
        <v>1058</v>
      </c>
      <c r="D702" s="9" t="s">
        <v>1680</v>
      </c>
      <c r="E702" s="9" t="s">
        <v>126</v>
      </c>
      <c r="F702" s="9" t="s">
        <v>1059</v>
      </c>
      <c r="G702" s="12">
        <v>73810477</v>
      </c>
      <c r="H702" s="9" t="s">
        <v>1723</v>
      </c>
      <c r="I702" t="str">
        <f t="shared" si="10"/>
        <v>('ANTON OSTIA BRYAN LUIS','AA.HH. VIRGEN DEL CARMEN MZ. D LT. 17 - CHINCHA ALTA','CHINCHA ALTA','ZONA: CRUZ BLANCA VIRGEN CARMEN','933 949 927','73810477','Todos'),</v>
      </c>
    </row>
    <row r="703" spans="1:9">
      <c r="A703" s="2">
        <v>639</v>
      </c>
      <c r="B703" s="9" t="s">
        <v>1043</v>
      </c>
      <c r="C703" s="9" t="s">
        <v>1044</v>
      </c>
      <c r="D703" s="9" t="s">
        <v>1679</v>
      </c>
      <c r="E703" s="9" t="s">
        <v>106</v>
      </c>
      <c r="F703" s="9">
        <v>973619478</v>
      </c>
      <c r="G703" s="12">
        <v>74035877</v>
      </c>
      <c r="H703" s="9" t="s">
        <v>1723</v>
      </c>
      <c r="I703" t="str">
        <f t="shared" si="10"/>
        <v>('DAVILA DIAZ HILDA XIOMARA','AA.HH. SAN JUDAS TADEO MZ. E LT. 5 - SUNAMPE - CHINCHA','SUNAMPE','ZONA: SUNAMPE - MINA DE ORO','973619478','74035877','Todos'),</v>
      </c>
    </row>
    <row r="704" spans="1:9">
      <c r="A704" s="2">
        <v>645</v>
      </c>
      <c r="B704" s="9" t="s">
        <v>527</v>
      </c>
      <c r="C704" s="9" t="s">
        <v>528</v>
      </c>
      <c r="D704" s="9" t="s">
        <v>1681</v>
      </c>
      <c r="E704" s="9" t="s">
        <v>11</v>
      </c>
      <c r="F704" s="9" t="s">
        <v>529</v>
      </c>
      <c r="G704" s="12">
        <v>74277308</v>
      </c>
      <c r="H704" s="9" t="s">
        <v>1723</v>
      </c>
      <c r="I704" t="str">
        <f t="shared" si="10"/>
        <v>('APOLAYA CUBILLAS ODALINA ESTEFANY','Prolong. Benavides','GROCIO PRADO','ZONA: GROCIO - MEJILLONEROS','923 241 273','74277308','Todos'),</v>
      </c>
    </row>
    <row r="705" spans="1:9">
      <c r="A705" s="2">
        <v>647</v>
      </c>
      <c r="B705" s="9" t="s">
        <v>477</v>
      </c>
      <c r="C705" s="9" t="s">
        <v>478</v>
      </c>
      <c r="D705" s="9" t="s">
        <v>1679</v>
      </c>
      <c r="E705" s="9" t="s">
        <v>22</v>
      </c>
      <c r="F705" s="9">
        <v>902874390</v>
      </c>
      <c r="G705" s="12">
        <v>74526307</v>
      </c>
      <c r="H705" s="9" t="s">
        <v>1723</v>
      </c>
      <c r="I705" t="str">
        <f t="shared" si="10"/>
        <v>('EDSON RUBEN NAPA CORDOVA (01)','SAN PEDRO DE PILPA 133 - SUNAMPE','SUNAMPE','ZONA: SUNAMPE – SAN PILPA','902874390','74526307','Todos'),</v>
      </c>
    </row>
    <row r="706" spans="1:9">
      <c r="A706" s="2">
        <v>659</v>
      </c>
      <c r="B706" s="9" t="s">
        <v>1446</v>
      </c>
      <c r="C706" s="9" t="s">
        <v>1447</v>
      </c>
      <c r="D706" s="9" t="s">
        <v>1682</v>
      </c>
      <c r="E706" s="9" t="s">
        <v>1106</v>
      </c>
      <c r="F706" s="9" t="s">
        <v>1448</v>
      </c>
      <c r="G706" s="12">
        <v>75423085</v>
      </c>
      <c r="H706" s="9" t="s">
        <v>1723</v>
      </c>
      <c r="I706" t="str">
        <f t="shared" si="10"/>
        <v>('ROCIO ESTHER RAMOS FELIPA','CL CENTENARIO NRO. PUERTA 155 - GROCIO PRADO','PUEBLO NUEVO','ZONA: PUEBLO - TECHO PROPIO','977 326 638','75423085','Todos'),</v>
      </c>
    </row>
    <row r="707" spans="1:9">
      <c r="A707" s="2">
        <v>668</v>
      </c>
      <c r="B707" s="9" t="s">
        <v>1508</v>
      </c>
      <c r="C707" s="9" t="s">
        <v>1509</v>
      </c>
      <c r="D707" s="9" t="s">
        <v>1679</v>
      </c>
      <c r="E707" s="9" t="s">
        <v>14</v>
      </c>
      <c r="F707" s="9">
        <v>935686349</v>
      </c>
      <c r="G707" s="12">
        <v>75691870</v>
      </c>
      <c r="H707" s="9" t="s">
        <v>1723</v>
      </c>
      <c r="I707" t="str">
        <f t="shared" ref="I707:I720" si="11">"('"&amp;B707&amp;"','"&amp;C707&amp;"','"&amp;D707&amp;"','"&amp;E707&amp;"','"&amp;F707&amp;"','"&amp;G707&amp;"','"&amp;H707&amp;"'),"</f>
        <v>('MANUEL ANTONIO UCEDA PALOMINO','CL SAN MARCELO Nro. Puerta 101 1C Sunampe Antiguo SUNAMPE','SUNAMPE','ZONA: SUNAMPE – VILLA JULIA','935686349','75691870','Todos'),</v>
      </c>
    </row>
    <row r="708" spans="1:9">
      <c r="A708" s="2">
        <v>673</v>
      </c>
      <c r="B708" s="9" t="s">
        <v>1531</v>
      </c>
      <c r="C708" s="9" t="s">
        <v>1532</v>
      </c>
      <c r="D708" s="9" t="s">
        <v>1680</v>
      </c>
      <c r="E708" s="9" t="s">
        <v>710</v>
      </c>
      <c r="F708" s="9">
        <v>906679025</v>
      </c>
      <c r="G708" s="12">
        <v>75811874</v>
      </c>
      <c r="H708" s="9" t="s">
        <v>1723</v>
      </c>
      <c r="I708" t="str">
        <f t="shared" si="11"/>
        <v>('CLAUDIA ISABEL MESIAS CARBAJAL','AVDA VICTORIA Nro. Puerta 332 Cercado Chincha Alta','CHINCHA ALTA','ZONA: CHINCHA - AMERICA','906679025','75811874','Todos'),</v>
      </c>
    </row>
    <row r="709" spans="1:9">
      <c r="A709" s="2">
        <v>680</v>
      </c>
      <c r="B709" s="9" t="s">
        <v>1514</v>
      </c>
      <c r="C709" s="9" t="s">
        <v>1515</v>
      </c>
      <c r="D709" s="9" t="s">
        <v>1680</v>
      </c>
      <c r="E709" s="9" t="s">
        <v>99</v>
      </c>
      <c r="F709" s="9">
        <v>930788527</v>
      </c>
      <c r="G709" s="12">
        <v>75957605</v>
      </c>
      <c r="H709" s="9" t="s">
        <v>1723</v>
      </c>
      <c r="I709" t="str">
        <f t="shared" si="11"/>
        <v>('MAHALI NOEMI MERALI CASTAÑEDA SULCA','CC.PP NUEVO CONDORILLO - SAN VALENTIN G-2 - CHINCHA ALTA','CHINCHA ALTA','ZONA: CRUZ BLANCA CAMPO','930788527','75957605','Todos'),</v>
      </c>
    </row>
    <row r="710" spans="1:9">
      <c r="A710" s="2">
        <v>682</v>
      </c>
      <c r="B710" s="9" t="s">
        <v>1282</v>
      </c>
      <c r="C710" s="9" t="s">
        <v>1283</v>
      </c>
      <c r="D710" s="9" t="s">
        <v>1679</v>
      </c>
      <c r="E710" s="9" t="s">
        <v>8</v>
      </c>
      <c r="F710" s="9">
        <v>955158903</v>
      </c>
      <c r="G710" s="12">
        <v>75985857</v>
      </c>
      <c r="H710" s="9" t="s">
        <v>1723</v>
      </c>
      <c r="I710" t="str">
        <f t="shared" si="11"/>
        <v>('DIAZ CHUMBIAUCA GIANCARLO','PSJE EMANCIPACION MZ. H LT. 09 - C.P. HUACA GRANDE - SUNAMPE','SUNAMPE','ZONA: SUNAMPE – COLEGIO','955158903','75985857','Todos'),</v>
      </c>
    </row>
    <row r="711" spans="1:9">
      <c r="A711" s="2">
        <v>683</v>
      </c>
      <c r="B711" s="9" t="s">
        <v>428</v>
      </c>
      <c r="C711" s="9" t="s">
        <v>429</v>
      </c>
      <c r="D711" s="9" t="s">
        <v>1680</v>
      </c>
      <c r="E711" s="9" t="s">
        <v>99</v>
      </c>
      <c r="F711" s="9" t="s">
        <v>430</v>
      </c>
      <c r="G711" s="12">
        <v>76000980</v>
      </c>
      <c r="H711" s="9" t="s">
        <v>1723</v>
      </c>
      <c r="I711" t="str">
        <f t="shared" si="11"/>
        <v>('MAGALLANES CASAS VICTOR ALEXANDER','Cruz blanca pasaje los ciruelos 207 - B','CHINCHA ALTA','ZONA: CRUZ BLANCA CAMPO','912 616 041','76000980','Todos'),</v>
      </c>
    </row>
    <row r="712" spans="1:9">
      <c r="A712" s="2">
        <v>685</v>
      </c>
      <c r="B712" s="9" t="s">
        <v>1560</v>
      </c>
      <c r="C712" s="9" t="s">
        <v>1561</v>
      </c>
      <c r="D712" s="9" t="s">
        <v>1680</v>
      </c>
      <c r="E712" s="9" t="s">
        <v>710</v>
      </c>
      <c r="F712" s="9">
        <v>931906915</v>
      </c>
      <c r="G712" s="12">
        <v>76029293</v>
      </c>
      <c r="H712" s="9" t="s">
        <v>1723</v>
      </c>
      <c r="I712" t="str">
        <f t="shared" si="11"/>
        <v>('ADEMIR TASAYCO DE LA CRUZ','PSJE SANTA MARIA Nro. 401 Cercado de Chincha Alta CHINCHA ALTA','CHINCHA ALTA','ZONA: CHINCHA - AMERICA','931906915','76029293','Todos'),</v>
      </c>
    </row>
    <row r="713" spans="1:9">
      <c r="A713" s="2">
        <v>687</v>
      </c>
      <c r="B713" s="9" t="s">
        <v>0</v>
      </c>
      <c r="C713" s="9" t="s">
        <v>1</v>
      </c>
      <c r="D713" s="9" t="s">
        <v>1679</v>
      </c>
      <c r="E713" s="9" t="s">
        <v>2</v>
      </c>
      <c r="F713" s="9">
        <v>934500127</v>
      </c>
      <c r="G713" s="12">
        <v>76044922</v>
      </c>
      <c r="H713" s="9" t="s">
        <v>1723</v>
      </c>
      <c r="I713" t="str">
        <f t="shared" si="11"/>
        <v>('ELITA TAMANI PACAYA (HENRY FLORES L.)','CARR SUNAMPE NRO. PUERTA 391 B C.P. HUACA GRANDE - SUNAMPE','SUNAMPE','ZONA: SUNAMPE – SAN IGNACIO','934500127','76044922','Todos'),</v>
      </c>
    </row>
    <row r="714" spans="1:9">
      <c r="A714" s="2">
        <v>688</v>
      </c>
      <c r="B714" s="9" t="s">
        <v>1510</v>
      </c>
      <c r="C714" s="9" t="s">
        <v>1511</v>
      </c>
      <c r="D714" s="9" t="s">
        <v>1679</v>
      </c>
      <c r="E714" s="9" t="s">
        <v>596</v>
      </c>
      <c r="F714" s="9">
        <v>982895226</v>
      </c>
      <c r="G714" s="12">
        <v>76064207</v>
      </c>
      <c r="H714" s="9" t="s">
        <v>1723</v>
      </c>
      <c r="I714" t="str">
        <f t="shared" si="11"/>
        <v>('MARIA DEL ROSARIO ALCALA JACOBO','CL. 28 DE JULIO NRO. PUERTA 115 - SUNAMPE','SUNAMPE','ZONA: SUNAMPE – CALLE LIMA','982895226','76064207','Todos'),</v>
      </c>
    </row>
    <row r="715" spans="1:9">
      <c r="A715" s="2">
        <v>690</v>
      </c>
      <c r="B715" s="9" t="s">
        <v>1675</v>
      </c>
      <c r="C715" s="9" t="s">
        <v>1676</v>
      </c>
      <c r="D715" s="9" t="s">
        <v>1682</v>
      </c>
      <c r="E715" s="9" t="s">
        <v>1582</v>
      </c>
      <c r="F715" s="9">
        <v>981678201</v>
      </c>
      <c r="G715" s="12">
        <v>76139722</v>
      </c>
      <c r="H715" s="9" t="s">
        <v>1723</v>
      </c>
      <c r="I715" t="str">
        <f t="shared" si="11"/>
        <v>('JONATHAN ALEXIS GOMEZ REYNO','VILLA CRUZ mz. H lt. 10','PUEBLO NUEVO','Zona: Rosedal','981678201','76139722','Todos'),</v>
      </c>
    </row>
    <row r="716" spans="1:9">
      <c r="A716" s="2">
        <v>692</v>
      </c>
      <c r="B716" s="9" t="s">
        <v>1487</v>
      </c>
      <c r="C716" s="9" t="s">
        <v>1486</v>
      </c>
      <c r="D716" s="9" t="s">
        <v>1681</v>
      </c>
      <c r="E716" s="9" t="s">
        <v>317</v>
      </c>
      <c r="F716" s="9" t="s">
        <v>1488</v>
      </c>
      <c r="G716" s="12">
        <v>76295361</v>
      </c>
      <c r="H716" s="9" t="s">
        <v>1723</v>
      </c>
      <c r="I716" t="str">
        <f t="shared" si="11"/>
        <v>('MILAGROS ISABEL VASQUEZ TIPIAN','AVDA SAN RAFAEL Nro. Tapa Medidor 96029917 0 Barrio Melchorita II GROCIO PRADO','GROCIO PRADO','ZONA: GROCIO - EL PORVENIR','918 232 259','76295361','Todos'),</v>
      </c>
    </row>
    <row r="717" spans="1:9">
      <c r="A717" s="2">
        <v>702</v>
      </c>
      <c r="B717" s="9" t="s">
        <v>1500</v>
      </c>
      <c r="C717" s="9" t="s">
        <v>1501</v>
      </c>
      <c r="D717" s="9" t="s">
        <v>1680</v>
      </c>
      <c r="E717" s="9" t="s">
        <v>334</v>
      </c>
      <c r="F717" s="9">
        <v>966322316</v>
      </c>
      <c r="G717" s="12">
        <v>76815125</v>
      </c>
      <c r="H717" s="9" t="s">
        <v>1723</v>
      </c>
      <c r="I717" t="str">
        <f t="shared" si="11"/>
        <v>('ELIZABETH FIORELLA CHUQUISPUMA BRICEÑO','C.P. CONDORILLO ALTO MZ. O - LT. 2A - CHINCHA ALTA','CHINCHA ALTA','ZONA: CONDORILLO PARTE BAJA','966322316','76815125','Todos'),</v>
      </c>
    </row>
    <row r="718" spans="1:9">
      <c r="A718" s="2">
        <v>707</v>
      </c>
      <c r="B718" s="9" t="s">
        <v>1444</v>
      </c>
      <c r="C718" s="9" t="s">
        <v>1445</v>
      </c>
      <c r="D718" s="9" t="s">
        <v>1682</v>
      </c>
      <c r="E718" s="9" t="s">
        <v>846</v>
      </c>
      <c r="F718" s="9">
        <v>917347669</v>
      </c>
      <c r="G718" s="12">
        <v>77132367</v>
      </c>
      <c r="H718" s="9" t="s">
        <v>1723</v>
      </c>
      <c r="I718" t="str">
        <f t="shared" si="11"/>
        <v>('YHOJAN DEYVID YATACO QUISPE','EL SALVADOR - MZ P1 LT-6 - 1 LT. 1B - A.H. MIGUEL GRAU - PUEBLO NUEVO','PUEBLO NUEVO','ZONA: PUEBLO - SALVADOR','917347669','77132367','Todos'),</v>
      </c>
    </row>
    <row r="719" spans="1:9">
      <c r="A719" s="2">
        <v>715</v>
      </c>
      <c r="B719" s="9" t="s">
        <v>1544</v>
      </c>
      <c r="C719" s="9" t="s">
        <v>1545</v>
      </c>
      <c r="D719" s="9" t="s">
        <v>1679</v>
      </c>
      <c r="E719" s="9" t="s">
        <v>106</v>
      </c>
      <c r="F719" s="9">
        <v>917331560</v>
      </c>
      <c r="G719" s="12">
        <v>77815510</v>
      </c>
      <c r="H719" s="9" t="s">
        <v>1723</v>
      </c>
      <c r="I719" t="str">
        <f t="shared" si="11"/>
        <v>('CESAR ALEXANDER YATACO VALVERDE','MZNA B Nro. Lote 10 A. H. VILLA ESPERANZA C.P. Mina de Oro, SUNAMPE','SUNAMPE','ZONA: SUNAMPE - MINA DE ORO','917331560','77815510','Todos'),</v>
      </c>
    </row>
    <row r="720" spans="1:9">
      <c r="A720" s="2">
        <v>717</v>
      </c>
      <c r="B720" s="9" t="s">
        <v>1518</v>
      </c>
      <c r="C720" s="9" t="s">
        <v>1519</v>
      </c>
      <c r="D720" s="9" t="s">
        <v>1682</v>
      </c>
      <c r="E720" s="9" t="s">
        <v>1383</v>
      </c>
      <c r="F720" s="9">
        <v>922981782</v>
      </c>
      <c r="G720" s="12">
        <v>80047199</v>
      </c>
      <c r="H720" s="9" t="s">
        <v>1723</v>
      </c>
      <c r="I720" t="str">
        <f t="shared" si="11"/>
        <v>('CLEYS TAYLOR QUISPE CUEVA','MZNA J Nro Casa 11 Sin Barrio AA. HH. Las Rocas','PUEBLO NUEVO','ZONA: PUEBLO - SATELITE - ROCAS','922981782','80047199','Todos'),</v>
      </c>
    </row>
    <row r="721" spans="2:8">
      <c r="B721"/>
      <c r="C721"/>
      <c r="D721"/>
      <c r="E721"/>
      <c r="F721"/>
      <c r="G721" s="2"/>
      <c r="H721"/>
    </row>
    <row r="722" spans="2:8">
      <c r="B722"/>
      <c r="C722"/>
      <c r="D722"/>
      <c r="E722"/>
      <c r="F722"/>
      <c r="G722" s="2"/>
      <c r="H722"/>
    </row>
    <row r="723" spans="2:8">
      <c r="B723"/>
      <c r="C723"/>
      <c r="D723"/>
      <c r="E723"/>
      <c r="F723"/>
      <c r="G723" s="2"/>
      <c r="H723"/>
    </row>
    <row r="724" spans="2:8">
      <c r="B724"/>
      <c r="C724"/>
      <c r="D724"/>
      <c r="E724"/>
      <c r="F724"/>
      <c r="G724" s="2"/>
      <c r="H724"/>
    </row>
    <row r="725" spans="2:8">
      <c r="B725"/>
      <c r="C725"/>
      <c r="D725"/>
      <c r="E725"/>
      <c r="F725"/>
      <c r="G725" s="2"/>
      <c r="H725"/>
    </row>
    <row r="726" spans="2:8">
      <c r="B726"/>
      <c r="C726"/>
      <c r="D726"/>
      <c r="E726"/>
      <c r="F726"/>
      <c r="G726" s="2"/>
      <c r="H726"/>
    </row>
    <row r="727" spans="2:8">
      <c r="B727"/>
      <c r="C727"/>
      <c r="D727"/>
      <c r="E727"/>
      <c r="F727"/>
      <c r="G727" s="2"/>
      <c r="H727"/>
    </row>
    <row r="728" spans="2:8">
      <c r="B728"/>
      <c r="C728"/>
      <c r="D728"/>
      <c r="E728"/>
      <c r="F728"/>
      <c r="G728" s="2"/>
      <c r="H728"/>
    </row>
    <row r="729" spans="2:8">
      <c r="B729"/>
      <c r="C729"/>
      <c r="D729"/>
      <c r="E729"/>
      <c r="F729"/>
      <c r="G729" s="2"/>
      <c r="H729"/>
    </row>
    <row r="730" spans="2:8">
      <c r="B730"/>
      <c r="C730"/>
      <c r="D730"/>
      <c r="E730"/>
      <c r="F730"/>
      <c r="G730" s="2"/>
      <c r="H730"/>
    </row>
    <row r="731" spans="2:8">
      <c r="B731"/>
      <c r="C731"/>
      <c r="D731"/>
      <c r="E731"/>
      <c r="F731"/>
      <c r="G731" s="2"/>
      <c r="H731"/>
    </row>
    <row r="732" spans="2:8">
      <c r="B732"/>
      <c r="C732"/>
      <c r="D732"/>
      <c r="E732"/>
      <c r="F732"/>
      <c r="G732" s="2"/>
      <c r="H732"/>
    </row>
    <row r="733" spans="2:8">
      <c r="B733"/>
      <c r="C733"/>
      <c r="D733"/>
      <c r="E733"/>
      <c r="F733"/>
      <c r="G733" s="2"/>
      <c r="H733"/>
    </row>
    <row r="734" spans="2:8">
      <c r="B734"/>
      <c r="C734"/>
      <c r="D734"/>
      <c r="E734"/>
      <c r="F734"/>
      <c r="G734" s="2"/>
      <c r="H734"/>
    </row>
    <row r="735" spans="2:8">
      <c r="B735"/>
      <c r="C735"/>
      <c r="D735"/>
      <c r="E735"/>
      <c r="F735"/>
      <c r="G735" s="2"/>
      <c r="H735"/>
    </row>
    <row r="736" spans="2:8">
      <c r="B736"/>
      <c r="C736"/>
      <c r="D736"/>
      <c r="E736"/>
      <c r="F736"/>
      <c r="G736" s="2"/>
      <c r="H736"/>
    </row>
    <row r="737" spans="2:8">
      <c r="B737"/>
      <c r="C737"/>
      <c r="D737"/>
      <c r="E737"/>
      <c r="F737"/>
      <c r="G737" s="2"/>
      <c r="H737"/>
    </row>
    <row r="738" spans="2:8">
      <c r="B738"/>
      <c r="C738"/>
      <c r="D738"/>
      <c r="E738"/>
      <c r="F738"/>
      <c r="G738" s="2"/>
      <c r="H738"/>
    </row>
    <row r="739" spans="2:8">
      <c r="B739"/>
      <c r="C739"/>
      <c r="D739"/>
      <c r="E739"/>
      <c r="F739"/>
      <c r="G739" s="2"/>
      <c r="H739"/>
    </row>
    <row r="740" spans="2:8">
      <c r="B740"/>
      <c r="C740"/>
      <c r="D740"/>
      <c r="E740"/>
      <c r="F740"/>
      <c r="G740" s="2"/>
      <c r="H740"/>
    </row>
    <row r="741" spans="2:8">
      <c r="B741"/>
      <c r="C741"/>
      <c r="D741"/>
      <c r="E741"/>
      <c r="F741"/>
      <c r="G741" s="2"/>
      <c r="H741"/>
    </row>
    <row r="742" spans="2:8">
      <c r="B742"/>
      <c r="C742"/>
      <c r="D742"/>
      <c r="E742"/>
      <c r="F742"/>
      <c r="G742" s="2"/>
      <c r="H742"/>
    </row>
    <row r="743" spans="2:8">
      <c r="B743"/>
      <c r="C743"/>
      <c r="D743"/>
      <c r="E743"/>
      <c r="F743"/>
      <c r="G743" s="2"/>
      <c r="H743"/>
    </row>
    <row r="744" spans="2:8">
      <c r="B744"/>
      <c r="C744"/>
      <c r="D744"/>
      <c r="E744"/>
      <c r="F744"/>
      <c r="G744" s="2"/>
      <c r="H744"/>
    </row>
    <row r="745" spans="2:8">
      <c r="B745"/>
      <c r="C745"/>
      <c r="D745"/>
      <c r="E745"/>
      <c r="F745"/>
      <c r="G745" s="2"/>
      <c r="H745"/>
    </row>
    <row r="746" spans="2:8">
      <c r="B746"/>
      <c r="C746"/>
      <c r="D746"/>
      <c r="E746"/>
      <c r="F746"/>
      <c r="G746" s="2"/>
      <c r="H746"/>
    </row>
    <row r="747" spans="2:8">
      <c r="B747"/>
      <c r="C747"/>
      <c r="D747"/>
      <c r="E747"/>
      <c r="F747"/>
      <c r="G747" s="2"/>
      <c r="H747"/>
    </row>
    <row r="748" spans="2:8">
      <c r="B748"/>
      <c r="C748"/>
      <c r="D748"/>
      <c r="E748"/>
      <c r="F748"/>
      <c r="G748" s="2"/>
      <c r="H748"/>
    </row>
    <row r="749" spans="2:8">
      <c r="B749"/>
      <c r="C749"/>
      <c r="D749"/>
      <c r="E749"/>
      <c r="F749"/>
      <c r="G749" s="2"/>
      <c r="H749"/>
    </row>
    <row r="750" spans="2:8">
      <c r="B750"/>
      <c r="C750"/>
      <c r="D750"/>
      <c r="E750"/>
      <c r="F750"/>
      <c r="G750" s="2"/>
      <c r="H750"/>
    </row>
    <row r="751" spans="2:8">
      <c r="B751"/>
      <c r="C751"/>
      <c r="D751"/>
      <c r="E751"/>
      <c r="F751"/>
      <c r="G751" s="2"/>
      <c r="H751"/>
    </row>
    <row r="752" spans="2:8">
      <c r="B752"/>
      <c r="C752"/>
      <c r="D752"/>
      <c r="E752"/>
      <c r="F752"/>
      <c r="G752" s="2"/>
      <c r="H752"/>
    </row>
    <row r="753" spans="2:8">
      <c r="B753"/>
      <c r="C753"/>
      <c r="D753"/>
      <c r="E753"/>
      <c r="F753"/>
      <c r="G753" s="2"/>
      <c r="H753"/>
    </row>
    <row r="754" spans="2:8">
      <c r="B754"/>
      <c r="C754"/>
      <c r="D754"/>
      <c r="E754"/>
      <c r="F754"/>
      <c r="G754" s="2"/>
      <c r="H754"/>
    </row>
    <row r="755" spans="2:8">
      <c r="B755"/>
      <c r="C755"/>
      <c r="D755"/>
      <c r="E755"/>
      <c r="F755"/>
      <c r="G755" s="2"/>
      <c r="H755"/>
    </row>
    <row r="756" spans="2:8">
      <c r="B756"/>
      <c r="C756"/>
      <c r="D756"/>
      <c r="E756"/>
      <c r="F756"/>
      <c r="G756" s="2"/>
      <c r="H756"/>
    </row>
    <row r="757" spans="2:8">
      <c r="B757"/>
      <c r="C757"/>
      <c r="D757"/>
      <c r="E757"/>
      <c r="F757"/>
      <c r="G757" s="2"/>
      <c r="H757"/>
    </row>
    <row r="758" spans="2:8">
      <c r="B758"/>
      <c r="C758"/>
      <c r="D758"/>
      <c r="E758"/>
      <c r="F758"/>
      <c r="G758" s="2"/>
      <c r="H758"/>
    </row>
    <row r="759" spans="2:8">
      <c r="B759"/>
      <c r="C759"/>
      <c r="D759"/>
      <c r="E759"/>
      <c r="F759"/>
      <c r="G759" s="2"/>
      <c r="H759"/>
    </row>
    <row r="760" spans="2:8">
      <c r="B760"/>
      <c r="C760"/>
      <c r="D760"/>
      <c r="E760"/>
      <c r="F760"/>
      <c r="G760" s="2"/>
      <c r="H760"/>
    </row>
    <row r="761" spans="2:8">
      <c r="B761"/>
      <c r="C761"/>
      <c r="D761"/>
      <c r="E761"/>
      <c r="F761"/>
      <c r="G761" s="2"/>
      <c r="H761"/>
    </row>
    <row r="762" spans="2:8">
      <c r="B762"/>
      <c r="C762"/>
      <c r="D762"/>
      <c r="E762"/>
      <c r="F762"/>
      <c r="G762" s="2"/>
      <c r="H762"/>
    </row>
    <row r="763" spans="2:8">
      <c r="B763"/>
      <c r="C763"/>
      <c r="D763"/>
      <c r="E763"/>
      <c r="F763"/>
      <c r="G763" s="2"/>
      <c r="H763"/>
    </row>
    <row r="764" spans="2:8">
      <c r="B764"/>
      <c r="C764"/>
      <c r="D764"/>
      <c r="E764"/>
      <c r="F764"/>
      <c r="G764" s="2"/>
      <c r="H764"/>
    </row>
    <row r="765" spans="2:8">
      <c r="B765"/>
      <c r="C765"/>
      <c r="D765"/>
      <c r="E765"/>
      <c r="F765"/>
      <c r="G765" s="2"/>
      <c r="H765"/>
    </row>
    <row r="766" spans="2:8">
      <c r="B766"/>
      <c r="C766"/>
      <c r="D766"/>
      <c r="E766"/>
      <c r="F766"/>
      <c r="G766" s="2"/>
      <c r="H766"/>
    </row>
    <row r="767" spans="2:8">
      <c r="B767"/>
      <c r="C767"/>
      <c r="D767"/>
      <c r="E767"/>
      <c r="F767"/>
      <c r="G767" s="2"/>
      <c r="H767"/>
    </row>
    <row r="768" spans="2:8">
      <c r="B768"/>
      <c r="C768"/>
      <c r="D768"/>
      <c r="E768"/>
      <c r="F768"/>
      <c r="G768" s="2"/>
      <c r="H768"/>
    </row>
    <row r="769" spans="2:8">
      <c r="B769"/>
      <c r="C769"/>
      <c r="D769"/>
      <c r="E769"/>
      <c r="F769"/>
      <c r="G769" s="2"/>
      <c r="H769"/>
    </row>
    <row r="770" spans="2:8">
      <c r="B770"/>
      <c r="C770"/>
      <c r="D770"/>
      <c r="E770"/>
      <c r="F770"/>
      <c r="G770" s="2"/>
      <c r="H770"/>
    </row>
    <row r="771" spans="2:8">
      <c r="B771"/>
      <c r="C771"/>
      <c r="D771"/>
      <c r="E771"/>
      <c r="F771"/>
      <c r="G771" s="2"/>
      <c r="H771"/>
    </row>
    <row r="772" spans="2:8">
      <c r="B772"/>
      <c r="C772"/>
      <c r="D772"/>
      <c r="E772"/>
      <c r="F772"/>
      <c r="G772" s="2"/>
      <c r="H772"/>
    </row>
    <row r="773" spans="2:8">
      <c r="B773"/>
      <c r="C773"/>
      <c r="D773"/>
      <c r="E773"/>
      <c r="F773"/>
      <c r="G773" s="2"/>
      <c r="H773"/>
    </row>
    <row r="774" spans="2:8">
      <c r="B774"/>
      <c r="C774"/>
      <c r="D774"/>
      <c r="E774"/>
      <c r="F774"/>
      <c r="G774" s="2"/>
      <c r="H774"/>
    </row>
    <row r="775" spans="2:8">
      <c r="B775"/>
      <c r="C775"/>
      <c r="D775"/>
      <c r="E775"/>
      <c r="F775"/>
      <c r="G775" s="2"/>
      <c r="H775"/>
    </row>
    <row r="776" spans="2:8">
      <c r="B776"/>
      <c r="C776"/>
      <c r="D776"/>
      <c r="E776"/>
      <c r="F776"/>
      <c r="G776" s="2"/>
      <c r="H776"/>
    </row>
    <row r="777" spans="2:8">
      <c r="B777"/>
      <c r="C777"/>
      <c r="D777"/>
      <c r="E777"/>
      <c r="F777"/>
      <c r="G777" s="2"/>
      <c r="H777"/>
    </row>
    <row r="778" spans="2:8">
      <c r="B778"/>
      <c r="C778"/>
      <c r="D778"/>
      <c r="E778"/>
      <c r="F778"/>
      <c r="G778" s="2"/>
      <c r="H778"/>
    </row>
    <row r="779" spans="2:8">
      <c r="B779"/>
      <c r="C779"/>
      <c r="D779"/>
      <c r="E779"/>
      <c r="F779"/>
      <c r="G779" s="2"/>
      <c r="H779"/>
    </row>
    <row r="780" spans="2:8">
      <c r="B780"/>
      <c r="C780"/>
      <c r="D780"/>
      <c r="E780"/>
      <c r="F780"/>
      <c r="G780" s="2"/>
      <c r="H780"/>
    </row>
    <row r="781" spans="2:8">
      <c r="B781"/>
      <c r="C781"/>
      <c r="D781"/>
      <c r="E781"/>
      <c r="F781"/>
      <c r="G781" s="2"/>
      <c r="H781"/>
    </row>
    <row r="782" spans="2:8">
      <c r="B782"/>
      <c r="C782"/>
      <c r="D782"/>
      <c r="E782"/>
      <c r="F782"/>
      <c r="G782" s="2"/>
      <c r="H782"/>
    </row>
    <row r="783" spans="2:8">
      <c r="B783"/>
      <c r="C783"/>
      <c r="D783"/>
      <c r="E783"/>
      <c r="F783"/>
      <c r="G783" s="2"/>
      <c r="H783"/>
    </row>
  </sheetData>
  <autoFilter ref="B1:H720" xr:uid="{EE2EA950-253B-49FB-B421-7FDFB9D890E4}"/>
  <sortState xmlns:xlrd2="http://schemas.microsoft.com/office/spreadsheetml/2017/richdata2" ref="A2:H720">
    <sortCondition ref="H2:H720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D64-D9F2-4011-978E-65126AD663B2}">
  <dimension ref="B6:F29"/>
  <sheetViews>
    <sheetView workbookViewId="0">
      <selection activeCell="G15" sqref="G15"/>
    </sheetView>
  </sheetViews>
  <sheetFormatPr baseColWidth="10" defaultRowHeight="14.4"/>
  <cols>
    <col min="2" max="3" width="17.5546875" bestFit="1" customWidth="1"/>
    <col min="5" max="5" width="15.5546875" customWidth="1"/>
  </cols>
  <sheetData>
    <row r="6" spans="2:3">
      <c r="B6" s="13" t="s">
        <v>1727</v>
      </c>
      <c r="C6" t="s">
        <v>1728</v>
      </c>
    </row>
    <row r="7" spans="2:3">
      <c r="B7" s="14" t="s">
        <v>1680</v>
      </c>
      <c r="C7" s="15">
        <v>221</v>
      </c>
    </row>
    <row r="8" spans="2:3">
      <c r="B8" s="14" t="s">
        <v>1681</v>
      </c>
      <c r="C8" s="15">
        <v>43</v>
      </c>
    </row>
    <row r="9" spans="2:3">
      <c r="B9" s="14" t="s">
        <v>1682</v>
      </c>
      <c r="C9" s="15">
        <v>81</v>
      </c>
    </row>
    <row r="10" spans="2:3">
      <c r="B10" s="14" t="s">
        <v>1679</v>
      </c>
      <c r="C10" s="15">
        <v>358</v>
      </c>
    </row>
    <row r="11" spans="2:3">
      <c r="B11" s="14" t="s">
        <v>1683</v>
      </c>
      <c r="C11" s="15">
        <v>16</v>
      </c>
    </row>
    <row r="12" spans="2:3">
      <c r="B12" s="14" t="s">
        <v>1726</v>
      </c>
      <c r="C12" s="15">
        <v>719</v>
      </c>
    </row>
    <row r="18" spans="2:6">
      <c r="E18" s="2">
        <v>30</v>
      </c>
    </row>
    <row r="20" spans="2:6">
      <c r="B20" s="16" t="s">
        <v>1727</v>
      </c>
      <c r="C20" s="16" t="s">
        <v>1728</v>
      </c>
      <c r="D20" s="18" t="s">
        <v>1729</v>
      </c>
      <c r="E20" s="9" t="s">
        <v>1732</v>
      </c>
      <c r="F20" s="19" t="s">
        <v>1730</v>
      </c>
    </row>
    <row r="21" spans="2:6">
      <c r="B21" t="s">
        <v>1680</v>
      </c>
      <c r="C21">
        <v>221</v>
      </c>
      <c r="D21" s="17">
        <f>(C21/$C$26)*100</f>
        <v>30.737134909596662</v>
      </c>
      <c r="E21">
        <f>(D21*$E$18)/100</f>
        <v>9.2211404728789983</v>
      </c>
      <c r="F21" s="19">
        <v>9</v>
      </c>
    </row>
    <row r="22" spans="2:6">
      <c r="B22" t="s">
        <v>1681</v>
      </c>
      <c r="C22">
        <v>43</v>
      </c>
      <c r="D22" s="17">
        <f t="shared" ref="D22:D25" si="0">(C22/$C$26)*100</f>
        <v>5.9805285118219746</v>
      </c>
      <c r="E22">
        <f t="shared" ref="E22:E25" si="1">(D22*$E$18)/100</f>
        <v>1.7941585535465925</v>
      </c>
      <c r="F22" s="19">
        <v>2</v>
      </c>
    </row>
    <row r="23" spans="2:6">
      <c r="B23" t="s">
        <v>1682</v>
      </c>
      <c r="C23">
        <v>81</v>
      </c>
      <c r="D23" s="17">
        <f t="shared" si="0"/>
        <v>11.265646731571627</v>
      </c>
      <c r="E23">
        <f t="shared" si="1"/>
        <v>3.3796940194714882</v>
      </c>
      <c r="F23" s="19">
        <v>3</v>
      </c>
    </row>
    <row r="24" spans="2:6">
      <c r="B24" t="s">
        <v>1679</v>
      </c>
      <c r="C24">
        <v>358</v>
      </c>
      <c r="D24" s="17">
        <f t="shared" si="0"/>
        <v>49.791376912378304</v>
      </c>
      <c r="E24">
        <f t="shared" si="1"/>
        <v>14.937413073713492</v>
      </c>
      <c r="F24" s="19">
        <v>14</v>
      </c>
    </row>
    <row r="25" spans="2:6">
      <c r="B25" t="s">
        <v>1683</v>
      </c>
      <c r="C25">
        <v>16</v>
      </c>
      <c r="D25" s="17">
        <f t="shared" si="0"/>
        <v>2.2253129346314324</v>
      </c>
      <c r="E25">
        <f t="shared" si="1"/>
        <v>0.66759388038942968</v>
      </c>
      <c r="F25" s="19">
        <v>2</v>
      </c>
    </row>
    <row r="26" spans="2:6">
      <c r="C26" s="8">
        <f>SUM(C21:C25)</f>
        <v>719</v>
      </c>
      <c r="D26">
        <f>SUM(D21:D25)</f>
        <v>100</v>
      </c>
      <c r="E26">
        <f>SUM(E21:E25)</f>
        <v>30</v>
      </c>
      <c r="F26" s="19">
        <f>SUM(F21:F25)</f>
        <v>30</v>
      </c>
    </row>
    <row r="28" spans="2:6">
      <c r="E28">
        <v>30</v>
      </c>
      <c r="F28">
        <v>100</v>
      </c>
    </row>
    <row r="29" spans="2:6">
      <c r="E29" s="9" t="s">
        <v>1731</v>
      </c>
      <c r="F29">
        <v>30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consolidado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IVAN DE LA CRUZ NAPA</dc:creator>
  <cp:lastModifiedBy>YONDA</cp:lastModifiedBy>
  <dcterms:created xsi:type="dcterms:W3CDTF">2025-12-20T20:19:21Z</dcterms:created>
  <dcterms:modified xsi:type="dcterms:W3CDTF">2025-12-23T16:37:31Z</dcterms:modified>
</cp:coreProperties>
</file>